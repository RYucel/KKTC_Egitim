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1_Kelime_Sayısı" sheetId="2" state="visible" r:id="rId4"/>
    <sheet name="2_Yıllık_Özet" sheetId="3" state="visible" r:id="rId5"/>
    <sheet name="3_İng_Metrikler" sheetId="4" state="visible" r:id="rId6"/>
    <sheet name="4_Kelime_Çeşitliliği" sheetId="5" state="visible" r:id="rId7"/>
    <sheet name="5_Okunabilirlik" sheetId="6" state="visible" r:id="rId8"/>
    <sheet name="6_CEE2_Sonuçları" sheetId="7" state="visible" r:id="rId9"/>
    <sheet name="7_Korelasyonlar" sheetId="8" state="visible" r:id="rId10"/>
    <sheet name="8_Matematik_vs_İ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<sst xmlns="http://schemas.openxmlformats.org/spreadsheetml/2006/main" count="110" uniqueCount="94">
  <si>
    <t xml:space="preserve">KKTC KGS — İngilizce Sınav Zorluğu Analizi (2016–2026)</t>
  </si>
  <si>
    <t xml:space="preserve">Veri: github.com/RYucel/KKTC_Egitim  |  Sonuçlar: Lefkoşa TMK CEE-2  |  Analiz birimi: 2. Basamak (Haziran)</t>
  </si>
  <si>
    <t xml:space="preserve">ANA TEŞHİS</t>
  </si>
  <si>
    <t xml:space="preserve">İngilizce sınavı daha zor KELİME/CÜMLE ile değil, sabit 90 dk'da daha çok OKUTARAK zorlaştı.</t>
  </si>
  <si>
    <t xml:space="preserve">BULGU</t>
  </si>
  <si>
    <t xml:space="preserve">DEĞER</t>
  </si>
  <si>
    <t xml:space="preserve">İngilizce okuma yükü (söz/soru): 2017 → 2024 zirve → 2026</t>
  </si>
  <si>
    <t xml:space="preserve">33 → 52 → 41</t>
  </si>
  <si>
    <t xml:space="preserve">Tahmini okuma süresi (İngilizce bölümü)</t>
  </si>
  <si>
    <t xml:space="preserve">5,9 → 8,9 → 7,4 dk</t>
  </si>
  <si>
    <t xml:space="preserve">Kelime karmaşıklığı (uzunluk / MATTR / nadir oran)</t>
  </si>
  <si>
    <t xml:space="preserve">Sabit ➡</t>
  </si>
  <si>
    <t xml:space="preserve">Yapısal okunabilirlik (Flesch ~85, FK ~4. sınıf)</t>
  </si>
  <si>
    <t xml:space="preserve">İngilizce başarı oranı (tüm derslerin en düşüğü)</t>
  </si>
  <si>
    <t xml:space="preserve">%66,4</t>
  </si>
  <si>
    <t xml:space="preserve">Kohort-arındırılmış İngilizce trendi</t>
  </si>
  <si>
    <t xml:space="preserve">−0,64 puan/yıl</t>
  </si>
  <si>
    <t xml:space="preserve">KORELASYON (kohort-arındırılmış İngilizce başarısı ile)</t>
  </si>
  <si>
    <t xml:space="preserve">Okuma süresi / hacim</t>
  </si>
  <si>
    <t xml:space="preserve">r = −0,60</t>
  </si>
  <si>
    <t xml:space="preserve">Farklı kelime sayısı (hacimle birlikte)</t>
  </si>
  <si>
    <t xml:space="preserve">r = −0,57</t>
  </si>
  <si>
    <t xml:space="preserve">İleri kelime ORANI (normalize)</t>
  </si>
  <si>
    <t xml:space="preserve">r = +0,16  (etkisiz)</t>
  </si>
  <si>
    <t xml:space="preserve">Flesch okunabilirlik (yapısal)</t>
  </si>
  <si>
    <t xml:space="preserve">r = −0,05  (etkisiz)</t>
  </si>
  <si>
    <t xml:space="preserve">2026 DOĞAL TESTİ</t>
  </si>
  <si>
    <t xml:space="preserve">SINIRLAR</t>
  </si>
  <si>
    <t xml:space="preserve">Bölüm Kelime Sayıları — Türkçe (1. Oturum) ve İngilizce (2. Oturum)</t>
  </si>
  <si>
    <t xml:space="preserve">Yıl</t>
  </si>
  <si>
    <t xml:space="preserve">Basamak</t>
  </si>
  <si>
    <t xml:space="preserve">Türkçe kelime</t>
  </si>
  <si>
    <t xml:space="preserve">İngilizce kelime</t>
  </si>
  <si>
    <t xml:space="preserve">Not</t>
  </si>
  <si>
    <t xml:space="preserve">Kaynak: KGS soru kitapçıkları (PyMuPDF metin çıkarımı; bölüm 'TESTİ'→'BİTMİŞTİR' arası; başlık/sayfa no/şık etiketleri hariç).</t>
  </si>
  <si>
    <t xml:space="preserve">Yıllık Ortalama Kelime Sayısı (grafik verisi)</t>
  </si>
  <si>
    <t xml:space="preserve">Türkçe ort.</t>
  </si>
  <si>
    <t xml:space="preserve">İngilizce ort.</t>
  </si>
  <si>
    <t xml:space="preserve">İngilizce — Dilbilimsel Metrikler (tüm 2. Oturum sınavları)</t>
  </si>
  <si>
    <t xml:space="preserve">Kelime</t>
  </si>
  <si>
    <t xml:space="preserve">Söz/Soru</t>
  </si>
  <si>
    <t xml:space="preserve">Cümle uzunluğu</t>
  </si>
  <si>
    <t xml:space="preserve">Kelime uz. (harf)</t>
  </si>
  <si>
    <t xml:space="preserve">MATTR (çeşitlilik)</t>
  </si>
  <si>
    <t xml:space="preserve">Söz/Soru = Kelime / 22 (sabit soru sayısı). MATTR: 100 kelimelik pencere; yüksek=daha çeşitli.</t>
  </si>
  <si>
    <t xml:space="preserve">İngilizce Kelime Çeşitliliği &amp; Nadirlik (2. Basamak, sözlük filtreli)</t>
  </si>
  <si>
    <t xml:space="preserve">Token</t>
  </si>
  <si>
    <t xml:space="preserve">Farklı kelime</t>
  </si>
  <si>
    <t xml:space="preserve">Ort. Zipf</t>
  </si>
  <si>
    <t xml:space="preserve">İleri (&lt;4.0)</t>
  </si>
  <si>
    <t xml:space="preserve">%İleri</t>
  </si>
  <si>
    <t xml:space="preserve">Nadir (&lt;3.5)</t>
  </si>
  <si>
    <t xml:space="preserve">%Nadir</t>
  </si>
  <si>
    <t xml:space="preserve">Zipf düşük=nadir kelime. %İleri/%Nadir = oran (token bazlı). Parçacıklar pyspellchecker sözlüğüyle elendi.</t>
  </si>
  <si>
    <t xml:space="preserve">İngilizce Okunabilirlik (2. Basamak)</t>
  </si>
  <si>
    <t xml:space="preserve">Flesch RE (yüksek=kolay)</t>
  </si>
  <si>
    <t xml:space="preserve">FK sınıf seviyesi</t>
  </si>
  <si>
    <t xml:space="preserve">Gunning Fog</t>
  </si>
  <si>
    <t xml:space="preserve">Okuma süresi (dk)</t>
  </si>
  <si>
    <t xml:space="preserve">Okuma süresi = Kelime / 130 (L2 dikkatli okuma, kelime/dk varsayımı). Flesch 80-90 = 'kolay', ~5. sınıf.</t>
  </si>
  <si>
    <t xml:space="preserve">Lefkoşa TMK CEE-2 Sonuçları — ham doğru sayısı, % başarı ve kohort-arındırılmış İngilizce</t>
  </si>
  <si>
    <t xml:space="preserve">Fen (ham)</t>
  </si>
  <si>
    <t xml:space="preserve">Matematik (ham)</t>
  </si>
  <si>
    <t xml:space="preserve">Sosyal (ham)</t>
  </si>
  <si>
    <t xml:space="preserve">İngilizce (ham)</t>
  </si>
  <si>
    <t xml:space="preserve">Türkçe (ham)</t>
  </si>
  <si>
    <t xml:space="preserve">Fen %</t>
  </si>
  <si>
    <t xml:space="preserve">Matematik %</t>
  </si>
  <si>
    <t xml:space="preserve">Sosyal %</t>
  </si>
  <si>
    <t xml:space="preserve">İngilizce %</t>
  </si>
  <si>
    <t xml:space="preserve">Türkçe %</t>
  </si>
  <si>
    <t xml:space="preserve">Diğer4 ort %</t>
  </si>
  <si>
    <t xml:space="preserve">İng. kohort-ar.</t>
  </si>
  <si>
    <t xml:space="preserve">Ort.</t>
  </si>
  <si>
    <t xml:space="preserve">2023 sonuç tablosunda yok. Maks soru: Fen14, Mat27, Sosyal10, İng22, Türkçe27. Kohort-ar. = İng% − (diğer 4 dersin ort %).</t>
  </si>
  <si>
    <t xml:space="preserve">Analiz: Hangi metrik İngilizce başarısını açıklıyor?</t>
  </si>
  <si>
    <t xml:space="preserve">Eşleşen yıllar (n=8) — veri bloğu</t>
  </si>
  <si>
    <t xml:space="preserve">Okuma dk</t>
  </si>
  <si>
    <t xml:space="preserve">%İleri kelime</t>
  </si>
  <si>
    <t xml:space="preserve">Flesch RE</t>
  </si>
  <si>
    <t xml:space="preserve">Kohort-ar. İng.</t>
  </si>
  <si>
    <t xml:space="preserve">KORELASYON (kohort-ar. İngilizce başarısı ile)</t>
  </si>
  <si>
    <t xml:space="preserve">Söz/Soru (hacim)</t>
  </si>
  <si>
    <t xml:space="preserve">Okuma süresi (hacim)</t>
  </si>
  <si>
    <t xml:space="preserve">%İleri kelime (normalize)</t>
  </si>
  <si>
    <t xml:space="preserve">Aynı 2. Oturum: İngilizce vs Matematik yükü (tüm 2. Oturum kitapçıkları)</t>
  </si>
  <si>
    <t xml:space="preserve">İng söz/soru</t>
  </si>
  <si>
    <t xml:space="preserve">İng karakter</t>
  </si>
  <si>
    <t xml:space="preserve">Mat söz/soru</t>
  </si>
  <si>
    <t xml:space="preserve">Mat sayı</t>
  </si>
  <si>
    <t xml:space="preserve">Mat sembol</t>
  </si>
  <si>
    <t xml:space="preserve">Mat karakter</t>
  </si>
  <si>
    <t xml:space="preserve">Yıllık ortalama</t>
  </si>
  <si>
    <t xml:space="preserve">Not: Geometri/şekil soruları metne yansımaz; bu, metin+sembol yükünü ölçer (kavramsal zorluğu değil). Şekil yükü sabit varsayılır.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</si>
</sst>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.0"/>
    <numFmt numFmtId="168" formatCode="0.00"/>
    <numFmt numFmtId="169" formatCode="0.000"/>
    <numFmt numFmtId="170" formatCode="0.0%"/>
    <numFmt numFmtId="171" formatCode="\+0.0;\-0.0"/>
    <numFmt numFmtId="172" formatCode="\+0.00;\-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0F0"/>
        <bgColor rgb="FFD9D9D9"/>
      </patternFill>
    </fill>
    <fill>
      <patternFill patternType="solid">
        <fgColor rgb="FF2E5496"/>
        <bgColor rgb="FF2471A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1A3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B2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4F81BD"/>
      <rgbColor rgb="FF878787"/>
      <rgbColor rgb="FF1F3864"/>
      <rgbColor rgb="FF339966"/>
      <rgbColor rgb="FF003300"/>
      <rgbColor rgb="FF333300"/>
      <rgbColor rgb="FFC0392B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Kelime Sayısı Trendi (Okuma Yükü)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2_Yıllık_Özet!B2</c:f>
              <c:strCache>
                <c:ptCount val="1"/>
                <c:pt idx="0">
                  <c:v>Türkçe ort.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2_Yıllık_Özet!$A$3:$A$13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2_Yıllık_Özet!$B$3:$B$13</c:f>
              <c:numCache>
                <c:formatCode>#,##0</c:formatCode>
                <c:ptCount val="11"/>
                <c:pt idx="0">
                  <c:v>1843</c:v>
                </c:pt>
                <c:pt idx="1">
                  <c:v>1239</c:v>
                </c:pt>
                <c:pt idx="3">
                  <c:v>1364</c:v>
                </c:pt>
                <c:pt idx="4">
                  <c:v>1759</c:v>
                </c:pt>
                <c:pt idx="5">
                  <c:v>1698</c:v>
                </c:pt>
                <c:pt idx="6">
                  <c:v>1723.5</c:v>
                </c:pt>
                <c:pt idx="7">
                  <c:v>1352</c:v>
                </c:pt>
                <c:pt idx="8">
                  <c:v>1359.5</c:v>
                </c:pt>
                <c:pt idx="9">
                  <c:v>1376.5</c:v>
                </c:pt>
                <c:pt idx="10">
                  <c:v>1808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2_Yıllık_Özet!C2</c:f>
              <c:strCache>
                <c:ptCount val="1"/>
                <c:pt idx="0">
                  <c:v>İngilizce ort.</c:v>
                </c:pt>
              </c:strCache>
            </c:strRef>
          </c:tx>
          <c:spPr>
            <a:solidFill>
              <a:srgbClr val="2471a3"/>
            </a:solidFill>
            <a:ln w="28080">
              <a:solidFill>
                <a:srgbClr val="2471a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2_Yıllık_Özet!$A$3:$A$13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2_Yıllık_Özet!$C$3:$C$13</c:f>
              <c:numCache>
                <c:formatCode>#,##0</c:formatCode>
                <c:ptCount val="11"/>
                <c:pt idx="0">
                  <c:v>599</c:v>
                </c:pt>
                <c:pt idx="1">
                  <c:v>709.5</c:v>
                </c:pt>
                <c:pt idx="2">
                  <c:v>740</c:v>
                </c:pt>
                <c:pt idx="3">
                  <c:v>743</c:v>
                </c:pt>
                <c:pt idx="4">
                  <c:v>748.5</c:v>
                </c:pt>
                <c:pt idx="5">
                  <c:v>968</c:v>
                </c:pt>
                <c:pt idx="6">
                  <c:v>807</c:v>
                </c:pt>
                <c:pt idx="7">
                  <c:v>960</c:v>
                </c:pt>
                <c:pt idx="8">
                  <c:v>1020.5</c:v>
                </c:pt>
                <c:pt idx="9">
                  <c:v>1079</c:v>
                </c:pt>
                <c:pt idx="10">
                  <c:v>905.5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215648"/>
        <c:axId val="29676579"/>
      </c:lineChart>
      <c:catAx>
        <c:axId val="402156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Yıl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76579"/>
        <c:crosses val="autoZero"/>
        <c:auto val="1"/>
        <c:lblAlgn val="ctr"/>
        <c:lblOffset val="100"/>
        <c:noMultiLvlLbl val="0"/>
      </c:catAx>
      <c:valAx>
        <c:axId val="2967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Kelime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15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Metrik ↔ İngilizce başarısı korelasyonu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7_Korelasyonlar!$A$15:$A$18</c:f>
              <c:strCache>
                <c:ptCount val="4"/>
                <c:pt idx="0">
                  <c:v>Söz/Soru (hacim)</c:v>
                </c:pt>
                <c:pt idx="1">
                  <c:v>Okuma süresi (hacim)</c:v>
                </c:pt>
                <c:pt idx="2">
                  <c:v>%İleri kelime (normalize)</c:v>
                </c:pt>
                <c:pt idx="3">
                  <c:v>Flesch okunabilirlik (yapısal)</c:v>
                </c:pt>
              </c:strCache>
            </c:strRef>
          </c:cat>
          <c:val>
            <c:numRef>
              <c:f>7_Korelasyonlar!$B$15:$B$18</c:f>
              <c:numCache>
                <c:formatCode>\+0.00;\-0.00</c:formatCode>
                <c:ptCount val="4"/>
                <c:pt idx="0">
                  <c:v>-0.601251725828969</c:v>
                </c:pt>
                <c:pt idx="1">
                  <c:v>-0.601178728242054</c:v>
                </c:pt>
                <c:pt idx="2">
                  <c:v>0.158747672014773</c:v>
                </c:pt>
                <c:pt idx="3">
                  <c:v>-0.0458578996582579</c:v>
                </c:pt>
              </c:numCache>
            </c:numRef>
          </c:val>
        </c:ser>
        <c:gapWidth val="150"/>
        <c:overlap val="0"/>
        <c:axId val="85340587"/>
        <c:axId val="9351149"/>
      </c:barChart>
      <c:catAx>
        <c:axId val="853405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1149"/>
        <c:crosses val="autoZero"/>
        <c:auto val="1"/>
        <c:lblAlgn val="ctr"/>
        <c:lblOffset val="100"/>
        <c:noMultiLvlLbl val="0"/>
      </c:catAx>
      <c:valAx>
        <c:axId val="9351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0;\-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40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Okuma Yükü ↑ ↔ İngilizce Başarısı ↓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7_Korelasyonlar!B4</c:f>
              <c:strCache>
                <c:ptCount val="1"/>
                <c:pt idx="0">
                  <c:v>Söz/Soru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7_Korelasyonlar!$A$5:$A$12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2022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7_Korelasyonlar!$B$5:$B$12</c:f>
              <c:numCache>
                <c:formatCode>0.0</c:formatCode>
                <c:ptCount val="8"/>
                <c:pt idx="0">
                  <c:v>33.1</c:v>
                </c:pt>
                <c:pt idx="1">
                  <c:v>36.8</c:v>
                </c:pt>
                <c:pt idx="2">
                  <c:v>33.8</c:v>
                </c:pt>
                <c:pt idx="3">
                  <c:v>36.5</c:v>
                </c:pt>
                <c:pt idx="4">
                  <c:v>37.4</c:v>
                </c:pt>
                <c:pt idx="5">
                  <c:v>51.8</c:v>
                </c:pt>
                <c:pt idx="6">
                  <c:v>47.6</c:v>
                </c:pt>
                <c:pt idx="7">
                  <c:v>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265470"/>
        <c:axId val="38200297"/>
      </c:lineChart>
      <c:lineChart>
        <c:grouping val="standard"/>
        <c:varyColors val="0"/>
        <c:ser>
          <c:idx val="1"/>
          <c:order val="1"/>
          <c:tx>
            <c:strRef>
              <c:f>7_Korelasyonlar!F4</c:f>
              <c:strCache>
                <c:ptCount val="1"/>
                <c:pt idx="0">
                  <c:v>Kohort-ar. İng.</c:v>
                </c:pt>
              </c:strCache>
            </c:strRef>
          </c:tx>
          <c:spPr>
            <a:solidFill>
              <a:srgbClr val="2471a3"/>
            </a:solidFill>
            <a:ln w="28080">
              <a:solidFill>
                <a:srgbClr val="2471a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7_Korelasyonlar!$A$5:$A$12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2022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7_Korelasyonlar!$F$5:$F$12</c:f>
              <c:numCache>
                <c:formatCode>\+0.0;\-0.0</c:formatCode>
                <c:ptCount val="8"/>
                <c:pt idx="0">
                  <c:v>-14.3</c:v>
                </c:pt>
                <c:pt idx="1">
                  <c:v>-10</c:v>
                </c:pt>
                <c:pt idx="2">
                  <c:v>-7.4</c:v>
                </c:pt>
                <c:pt idx="3">
                  <c:v>-5.6</c:v>
                </c:pt>
                <c:pt idx="4">
                  <c:v>-12.8</c:v>
                </c:pt>
                <c:pt idx="5">
                  <c:v>-14.5</c:v>
                </c:pt>
                <c:pt idx="6">
                  <c:v>-18.3</c:v>
                </c:pt>
                <c:pt idx="7">
                  <c:v>-15.4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766104"/>
        <c:axId val="97307356"/>
      </c:lineChart>
      <c:catAx>
        <c:axId val="892654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Yıl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00297"/>
        <c:crosses val="autoZero"/>
        <c:auto val="1"/>
        <c:lblAlgn val="ctr"/>
        <c:lblOffset val="100"/>
        <c:noMultiLvlLbl val="0"/>
      </c:catAx>
      <c:valAx>
        <c:axId val="38200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Söz/Soru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65470"/>
        <c:crosses val="autoZero"/>
        <c:crossBetween val="between"/>
      </c:valAx>
      <c:catAx>
        <c:axId val="2076610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Yıl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07356"/>
        <c:crosses val="autoZero"/>
        <c:auto val="1"/>
        <c:lblAlgn val="ctr"/>
        <c:lblOffset val="100"/>
        <c:noMultiLvlLbl val="0"/>
      </c:catAx>
      <c:valAx>
        <c:axId val="9730735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Kohort-ar. başarı (puan)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;\-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6610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İngilizce şişti, Matematik şişmedi (söz/soru)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8_Matematik_vs_İng!B24</c:f>
              <c:strCache>
                <c:ptCount val="1"/>
                <c:pt idx="0">
                  <c:v>İng söz/soru</c:v>
                </c:pt>
              </c:strCache>
            </c:strRef>
          </c:tx>
          <c:spPr>
            <a:solidFill>
              <a:srgbClr val="1f6fb2"/>
            </a:solidFill>
            <a:ln w="28080">
              <a:solidFill>
                <a:srgbClr val="1f6f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8_Matematik_vs_İng!$A$25:$A$35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8_Matematik_vs_İng!$B$25:$B$35</c:f>
              <c:numCache>
                <c:formatCode>0.0</c:formatCode>
                <c:ptCount val="11"/>
                <c:pt idx="0">
                  <c:v>27.2</c:v>
                </c:pt>
                <c:pt idx="1">
                  <c:v>32</c:v>
                </c:pt>
                <c:pt idx="2">
                  <c:v>33.65</c:v>
                </c:pt>
                <c:pt idx="3">
                  <c:v>33.8</c:v>
                </c:pt>
                <c:pt idx="4">
                  <c:v>33.95</c:v>
                </c:pt>
                <c:pt idx="5">
                  <c:v>44.2</c:v>
                </c:pt>
                <c:pt idx="6">
                  <c:v>37</c:v>
                </c:pt>
                <c:pt idx="7">
                  <c:v>44.05</c:v>
                </c:pt>
                <c:pt idx="8">
                  <c:v>46.6</c:v>
                </c:pt>
                <c:pt idx="9">
                  <c:v>49.7</c:v>
                </c:pt>
                <c:pt idx="10">
                  <c:v>41.25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8_Matematik_vs_İng!C24</c:f>
              <c:strCache>
                <c:ptCount val="1"/>
                <c:pt idx="0">
                  <c:v>Mat söz/soru</c:v>
                </c:pt>
              </c:strCache>
            </c:strRef>
          </c:tx>
          <c:spPr>
            <a:solidFill>
              <a:srgbClr val="e67e22"/>
            </a:solidFill>
            <a:ln w="2808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8_Matematik_vs_İng!$A$25:$A$35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8_Matematik_vs_İng!$C$25:$C$35</c:f>
              <c:numCache>
                <c:formatCode>0.0</c:formatCode>
                <c:ptCount val="11"/>
                <c:pt idx="0">
                  <c:v>33.4</c:v>
                </c:pt>
                <c:pt idx="1">
                  <c:v>31.75</c:v>
                </c:pt>
                <c:pt idx="2">
                  <c:v>35.9</c:v>
                </c:pt>
                <c:pt idx="3">
                  <c:v>37</c:v>
                </c:pt>
                <c:pt idx="4">
                  <c:v>36.7</c:v>
                </c:pt>
                <c:pt idx="5">
                  <c:v>33.1</c:v>
                </c:pt>
                <c:pt idx="6">
                  <c:v>32.65</c:v>
                </c:pt>
                <c:pt idx="7">
                  <c:v>31.6</c:v>
                </c:pt>
                <c:pt idx="8">
                  <c:v>27.4</c:v>
                </c:pt>
                <c:pt idx="9">
                  <c:v>27</c:v>
                </c:pt>
                <c:pt idx="10">
                  <c:v>30.65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70732"/>
        <c:axId val="62085163"/>
      </c:lineChart>
      <c:catAx>
        <c:axId val="9670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Yıl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85163"/>
        <c:crosses val="autoZero"/>
        <c:auto val="1"/>
        <c:lblAlgn val="ctr"/>
        <c:lblOffset val="100"/>
        <c:noMultiLvlLbl val="0"/>
      </c:catAx>
      <c:valAx>
        <c:axId val="620851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Soru başına kelime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0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14</xdr:col>
      <xdr:colOff>364320</xdr:colOff>
      <xdr:row>17</xdr:row>
      <xdr:rowOff>176760</xdr:rowOff>
    </xdr:to>
    <xdr:graphicFrame>
      <xdr:nvGraphicFramePr>
        <xdr:cNvPr id="0" name="Chart 1"/>
        <xdr:cNvGraphicFramePr/>
      </xdr:nvGraphicFramePr>
      <xdr:xfrm>
        <a:off x="3290040" y="190440"/>
        <a:ext cx="64792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16</xdr:col>
      <xdr:colOff>255960</xdr:colOff>
      <xdr:row>15</xdr:row>
      <xdr:rowOff>28080</xdr:rowOff>
    </xdr:to>
    <xdr:graphicFrame>
      <xdr:nvGraphicFramePr>
        <xdr:cNvPr id="1" name="Chart 1"/>
        <xdr:cNvGraphicFramePr/>
      </xdr:nvGraphicFramePr>
      <xdr:xfrm>
        <a:off x="7660080" y="375840"/>
        <a:ext cx="57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175680</xdr:rowOff>
    </xdr:from>
    <xdr:to>
      <xdr:col>16</xdr:col>
      <xdr:colOff>255960</xdr:colOff>
      <xdr:row>34</xdr:row>
      <xdr:rowOff>7200</xdr:rowOff>
    </xdr:to>
    <xdr:graphicFrame>
      <xdr:nvGraphicFramePr>
        <xdr:cNvPr id="2" name="Chart 2"/>
        <xdr:cNvGraphicFramePr/>
      </xdr:nvGraphicFramePr>
      <xdr:xfrm>
        <a:off x="7660080" y="3614040"/>
        <a:ext cx="57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22</xdr:row>
      <xdr:rowOff>63720</xdr:rowOff>
    </xdr:from>
    <xdr:to>
      <xdr:col>11</xdr:col>
      <xdr:colOff>534240</xdr:colOff>
      <xdr:row>36</xdr:row>
      <xdr:rowOff>163800</xdr:rowOff>
    </xdr:to>
    <xdr:graphicFrame>
      <xdr:nvGraphicFramePr>
        <xdr:cNvPr id="3" name="Chart 1"/>
        <xdr:cNvGraphicFramePr/>
      </xdr:nvGraphicFramePr>
      <xdr:xfrm>
        <a:off x="2819520" y="438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4" min="2" style="1" width="2"/>
    <col collapsed="false" customWidth="true" hidden="false" outlineLevel="0" max="5" min="5" style="1" width="34"/>
    <col collapsed="false" customWidth="true" hidden="false" outlineLevel="0" max="6" min="6" style="1" width="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E3" s="5"/>
    </row>
    <row r="4" customFormat="false" ht="15" hidden="false" customHeight="true" outlineLevel="0" collapsed="false">
      <c r="A4" s="6" t="s">
        <v>2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s">
        <v>3</v>
      </c>
      <c r="B5" s="7"/>
      <c r="C5" s="7"/>
      <c r="D5" s="7"/>
      <c r="E5" s="7"/>
      <c r="F5" s="7"/>
    </row>
    <row r="6" customFormat="false" ht="15" hidden="false" customHeight="true" outlineLevel="0" collapsed="false">
      <c r="A6" s="4"/>
      <c r="E6" s="5"/>
    </row>
    <row r="7" customFormat="false" ht="15" hidden="false" customHeight="true" outlineLevel="0" collapsed="false">
      <c r="A7" s="8" t="s">
        <v>4</v>
      </c>
      <c r="E7" s="8" t="s">
        <v>5</v>
      </c>
    </row>
    <row r="8" customFormat="false" ht="15" hidden="false" customHeight="true" outlineLevel="0" collapsed="false">
      <c r="A8" s="4" t="s">
        <v>6</v>
      </c>
      <c r="E8" s="5" t="s">
        <v>7</v>
      </c>
    </row>
    <row r="9" customFormat="false" ht="15" hidden="false" customHeight="true" outlineLevel="0" collapsed="false">
      <c r="A9" s="4" t="s">
        <v>8</v>
      </c>
      <c r="E9" s="5" t="s">
        <v>9</v>
      </c>
    </row>
    <row r="10" customFormat="false" ht="15" hidden="false" customHeight="true" outlineLevel="0" collapsed="false">
      <c r="A10" s="4" t="s">
        <v>10</v>
      </c>
      <c r="E10" s="5" t="s">
        <v>11</v>
      </c>
    </row>
    <row r="11" customFormat="false" ht="15" hidden="false" customHeight="true" outlineLevel="0" collapsed="false">
      <c r="A11" s="4" t="s">
        <v>12</v>
      </c>
      <c r="E11" s="5" t="s">
        <v>11</v>
      </c>
    </row>
    <row r="12" customFormat="false" ht="15" hidden="false" customHeight="true" outlineLevel="0" collapsed="false">
      <c r="A12" s="4" t="s">
        <v>13</v>
      </c>
      <c r="E12" s="5" t="s">
        <v>14</v>
      </c>
    </row>
    <row r="13" customFormat="false" ht="15" hidden="false" customHeight="true" outlineLevel="0" collapsed="false">
      <c r="A13" s="4" t="s">
        <v>15</v>
      </c>
      <c r="E13" s="5" t="s">
        <v>16</v>
      </c>
    </row>
    <row r="14" customFormat="false" ht="15" hidden="false" customHeight="true" outlineLevel="0" collapsed="false">
      <c r="A14" s="4"/>
      <c r="E14" s="5"/>
    </row>
    <row r="15" customFormat="false" ht="15" hidden="false" customHeight="true" outlineLevel="0" collapsed="false">
      <c r="A15" s="6" t="s">
        <v>17</v>
      </c>
      <c r="B15" s="6"/>
      <c r="C15" s="6"/>
      <c r="D15" s="6"/>
      <c r="E15" s="6"/>
      <c r="F15" s="6"/>
    </row>
    <row r="16" customFormat="false" ht="15" hidden="false" customHeight="true" outlineLevel="0" collapsed="false">
      <c r="A16" s="4" t="s">
        <v>18</v>
      </c>
      <c r="E16" s="5" t="s">
        <v>19</v>
      </c>
    </row>
    <row r="17" customFormat="false" ht="15" hidden="false" customHeight="true" outlineLevel="0" collapsed="false">
      <c r="A17" s="4" t="s">
        <v>20</v>
      </c>
      <c r="E17" s="5" t="s">
        <v>21</v>
      </c>
    </row>
    <row r="18" customFormat="false" ht="15" hidden="false" customHeight="true" outlineLevel="0" collapsed="false">
      <c r="A18" s="4" t="s">
        <v>22</v>
      </c>
      <c r="E18" s="5" t="s">
        <v>23</v>
      </c>
    </row>
    <row r="19" customFormat="false" ht="15" hidden="false" customHeight="true" outlineLevel="0" collapsed="false">
      <c r="A19" s="4" t="s">
        <v>24</v>
      </c>
      <c r="E19" s="5" t="s">
        <v>25</v>
      </c>
    </row>
    <row r="20" customFormat="false" ht="15" hidden="false" customHeight="true" outlineLevel="0" collapsed="false">
      <c r="A20" s="4"/>
      <c r="E20" s="5"/>
    </row>
    <row r="21" customFormat="false" ht="15" hidden="false" customHeight="true" outlineLevel="0" collapsed="false">
      <c r="A21" s="6" t="s">
        <v>26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4"/>
      <c r="E22" s="5"/>
    </row>
    <row r="23" customFormat="false" ht="15" hidden="false" customHeight="true" outlineLevel="0" collapsed="false">
      <c r="A23" s="6" t="s">
        <v>27</v>
      </c>
      <c r="B23" s="6"/>
      <c r="C23" s="6"/>
      <c r="D23" s="6"/>
      <c r="E23" s="6"/>
      <c r="F23" s="6"/>
    </row>
  </sheetData>
  <mergeCells count="7">
    <mergeCell ref="A1:F1"/>
    <mergeCell ref="A2:F2"/>
    <mergeCell ref="A4:F4"/>
    <mergeCell ref="A5:F5"/>
    <mergeCell ref="A15:F15"/>
    <mergeCell ref="A21:F2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15.75" hidden="false" customHeight="true" outlineLevel="0" collapsed="false">
      <c r="A1" s="2" t="s">
        <v>28</v>
      </c>
      <c r="B1" s="2"/>
      <c r="C1" s="2"/>
      <c r="D1" s="2"/>
      <c r="E1" s="2"/>
    </row>
    <row r="2" customFormat="false" ht="15" hidden="false" customHeight="true" outlineLevel="0" collapsed="false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</row>
    <row r="3" customFormat="false" ht="15" hidden="false" customHeight="true" outlineLevel="0" collapsed="false">
      <c r="A3" s="10" t="n">
        <v>2016</v>
      </c>
      <c r="B3" s="11" t="n">
        <v>1</v>
      </c>
      <c r="C3" s="12" t="n">
        <v>1843</v>
      </c>
      <c r="D3" s="12" t="n">
        <v>599</v>
      </c>
      <c r="E3" s="13"/>
    </row>
    <row r="4" customFormat="false" ht="15" hidden="false" customHeight="true" outlineLevel="0" collapsed="false">
      <c r="A4" s="10" t="n">
        <v>2017</v>
      </c>
      <c r="B4" s="11" t="n">
        <v>1</v>
      </c>
      <c r="C4" s="12" t="n">
        <v>1239</v>
      </c>
      <c r="D4" s="12" t="n">
        <v>690</v>
      </c>
      <c r="E4" s="13"/>
    </row>
    <row r="5" customFormat="false" ht="15" hidden="false" customHeight="true" outlineLevel="0" collapsed="false">
      <c r="A5" s="10" t="n">
        <v>2017</v>
      </c>
      <c r="B5" s="11" t="n">
        <v>2</v>
      </c>
      <c r="C5" s="13"/>
      <c r="D5" s="12" t="n">
        <v>729</v>
      </c>
      <c r="E5" s="13"/>
    </row>
    <row r="6" customFormat="false" ht="15" hidden="false" customHeight="true" outlineLevel="0" collapsed="false">
      <c r="A6" s="10" t="n">
        <v>2018</v>
      </c>
      <c r="B6" s="11" t="n">
        <v>1</v>
      </c>
      <c r="C6" s="13"/>
      <c r="D6" s="12" t="n">
        <v>671</v>
      </c>
      <c r="E6" s="13"/>
    </row>
    <row r="7" customFormat="false" ht="15" hidden="false" customHeight="true" outlineLevel="0" collapsed="false">
      <c r="A7" s="10" t="n">
        <v>2018</v>
      </c>
      <c r="B7" s="11" t="n">
        <v>2</v>
      </c>
      <c r="C7" s="13"/>
      <c r="D7" s="12" t="n">
        <v>809</v>
      </c>
      <c r="E7" s="13"/>
    </row>
    <row r="8" customFormat="false" ht="15" hidden="false" customHeight="true" outlineLevel="0" collapsed="false">
      <c r="A8" s="10" t="n">
        <v>2019</v>
      </c>
      <c r="B8" s="11" t="n">
        <v>2</v>
      </c>
      <c r="C8" s="12" t="n">
        <v>1364</v>
      </c>
      <c r="D8" s="12" t="n">
        <v>743</v>
      </c>
      <c r="E8" s="13"/>
    </row>
    <row r="9" customFormat="false" ht="15" hidden="false" customHeight="true" outlineLevel="0" collapsed="false">
      <c r="A9" s="10" t="n">
        <v>2020</v>
      </c>
      <c r="B9" s="11" t="n">
        <v>1</v>
      </c>
      <c r="C9" s="13"/>
      <c r="D9" s="12" t="n">
        <v>693</v>
      </c>
      <c r="E9" s="13"/>
    </row>
    <row r="10" customFormat="false" ht="15" hidden="false" customHeight="true" outlineLevel="0" collapsed="false">
      <c r="A10" s="10" t="n">
        <v>2020</v>
      </c>
      <c r="B10" s="11" t="n">
        <v>2</v>
      </c>
      <c r="C10" s="12" t="n">
        <v>1759</v>
      </c>
      <c r="D10" s="12" t="n">
        <v>804</v>
      </c>
      <c r="E10" s="13"/>
    </row>
    <row r="11" customFormat="false" ht="15" hidden="false" customHeight="true" outlineLevel="0" collapsed="false">
      <c r="A11" s="10" t="n">
        <v>2021</v>
      </c>
      <c r="B11" s="11" t="n">
        <v>1</v>
      </c>
      <c r="C11" s="12" t="n">
        <v>1698</v>
      </c>
      <c r="D11" s="12" t="n">
        <v>968</v>
      </c>
      <c r="E11" s="13"/>
    </row>
    <row r="12" customFormat="false" ht="15" hidden="false" customHeight="true" outlineLevel="0" collapsed="false">
      <c r="A12" s="10" t="n">
        <v>2022</v>
      </c>
      <c r="B12" s="11" t="n">
        <v>1</v>
      </c>
      <c r="C12" s="12" t="n">
        <v>1602</v>
      </c>
      <c r="D12" s="12" t="n">
        <v>791</v>
      </c>
      <c r="E12" s="13"/>
    </row>
    <row r="13" customFormat="false" ht="15" hidden="false" customHeight="true" outlineLevel="0" collapsed="false">
      <c r="A13" s="10" t="n">
        <v>2022</v>
      </c>
      <c r="B13" s="11" t="n">
        <v>2</v>
      </c>
      <c r="C13" s="12" t="n">
        <v>1845</v>
      </c>
      <c r="D13" s="12" t="n">
        <v>823</v>
      </c>
      <c r="E13" s="13"/>
    </row>
    <row r="14" customFormat="false" ht="15" hidden="false" customHeight="true" outlineLevel="0" collapsed="false">
      <c r="A14" s="10" t="n">
        <v>2023</v>
      </c>
      <c r="B14" s="11" t="n">
        <v>1</v>
      </c>
      <c r="C14" s="12" t="n">
        <v>1481</v>
      </c>
      <c r="D14" s="12" t="n">
        <v>991</v>
      </c>
      <c r="E14" s="13"/>
    </row>
    <row r="15" customFormat="false" ht="15" hidden="false" customHeight="true" outlineLevel="0" collapsed="false">
      <c r="A15" s="10" t="n">
        <v>2023</v>
      </c>
      <c r="B15" s="11" t="n">
        <v>2</v>
      </c>
      <c r="C15" s="12" t="n">
        <v>1223</v>
      </c>
      <c r="D15" s="12" t="n">
        <v>929</v>
      </c>
      <c r="E15" s="13"/>
    </row>
    <row r="16" customFormat="false" ht="15" hidden="false" customHeight="true" outlineLevel="0" collapsed="false">
      <c r="A16" s="10" t="n">
        <v>2024</v>
      </c>
      <c r="B16" s="11" t="n">
        <v>1</v>
      </c>
      <c r="C16" s="12" t="n">
        <v>1341</v>
      </c>
      <c r="D16" s="12" t="n">
        <v>902</v>
      </c>
      <c r="E16" s="13"/>
    </row>
    <row r="17" customFormat="false" ht="15" hidden="false" customHeight="true" outlineLevel="0" collapsed="false">
      <c r="A17" s="10" t="n">
        <v>2024</v>
      </c>
      <c r="B17" s="11" t="n">
        <v>2</v>
      </c>
      <c r="C17" s="12" t="n">
        <v>1378</v>
      </c>
      <c r="D17" s="12" t="n">
        <v>1139</v>
      </c>
      <c r="E17" s="13"/>
    </row>
    <row r="18" customFormat="false" ht="15" hidden="false" customHeight="true" outlineLevel="0" collapsed="false">
      <c r="A18" s="10" t="n">
        <v>2025</v>
      </c>
      <c r="B18" s="11" t="n">
        <v>1</v>
      </c>
      <c r="C18" s="12" t="n">
        <v>1368</v>
      </c>
      <c r="D18" s="12" t="n">
        <v>1110</v>
      </c>
      <c r="E18" s="13"/>
    </row>
    <row r="19" customFormat="false" ht="15" hidden="false" customHeight="true" outlineLevel="0" collapsed="false">
      <c r="A19" s="10" t="n">
        <v>2025</v>
      </c>
      <c r="B19" s="11" t="n">
        <v>2</v>
      </c>
      <c r="C19" s="12" t="n">
        <v>1385</v>
      </c>
      <c r="D19" s="12" t="n">
        <v>1048</v>
      </c>
      <c r="E19" s="13"/>
    </row>
    <row r="20" customFormat="false" ht="15" hidden="false" customHeight="true" outlineLevel="0" collapsed="false">
      <c r="A20" s="10" t="n">
        <v>2026</v>
      </c>
      <c r="B20" s="11" t="n">
        <v>1</v>
      </c>
      <c r="C20" s="12" t="n">
        <v>1967</v>
      </c>
      <c r="D20" s="12" t="n">
        <v>908</v>
      </c>
      <c r="E20" s="13"/>
    </row>
    <row r="21" customFormat="false" ht="15" hidden="false" customHeight="true" outlineLevel="0" collapsed="false">
      <c r="A21" s="10" t="n">
        <v>2026</v>
      </c>
      <c r="B21" s="11" t="n">
        <v>2</v>
      </c>
      <c r="C21" s="12" t="n">
        <v>1649</v>
      </c>
      <c r="D21" s="12" t="n">
        <v>903</v>
      </c>
      <c r="E21" s="13"/>
    </row>
    <row r="23" customFormat="false" ht="15" hidden="false" customHeight="true" outlineLevel="0" collapsed="false">
      <c r="A23" s="14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" t="s">
        <v>35</v>
      </c>
      <c r="B1" s="2"/>
      <c r="C1" s="2"/>
    </row>
    <row r="2" customFormat="false" ht="15" hidden="false" customHeight="true" outlineLevel="0" collapsed="false">
      <c r="A2" s="9" t="s">
        <v>29</v>
      </c>
      <c r="B2" s="9" t="s">
        <v>36</v>
      </c>
      <c r="C2" s="9" t="s">
        <v>37</v>
      </c>
    </row>
    <row r="3" customFormat="false" ht="15" hidden="false" customHeight="true" outlineLevel="0" collapsed="false">
      <c r="A3" s="15" t="n">
        <v>2016</v>
      </c>
      <c r="B3" s="16" t="n">
        <f aca="false">AVERAGEIFS(1_Kelime_Sayısı!C:C,1_Kelime_Sayısı!A:A,A3)</f>
        <v>1843</v>
      </c>
      <c r="C3" s="16" t="n">
        <f aca="false">AVERAGEIFS(1_Kelime_Sayısı!D:D,1_Kelime_Sayısı!A:A,A3)</f>
        <v>599</v>
      </c>
    </row>
    <row r="4" customFormat="false" ht="15" hidden="false" customHeight="true" outlineLevel="0" collapsed="false">
      <c r="A4" s="15" t="n">
        <v>2017</v>
      </c>
      <c r="B4" s="16" t="n">
        <f aca="false">AVERAGEIFS(1_Kelime_Sayısı!C:C,1_Kelime_Sayısı!A:A,A4)</f>
        <v>1239</v>
      </c>
      <c r="C4" s="16" t="n">
        <f aca="false">AVERAGEIFS(1_Kelime_Sayısı!D:D,1_Kelime_Sayısı!A:A,A4)</f>
        <v>709.5</v>
      </c>
    </row>
    <row r="5" customFormat="false" ht="15" hidden="false" customHeight="true" outlineLevel="0" collapsed="false">
      <c r="A5" s="15" t="n">
        <v>2018</v>
      </c>
      <c r="C5" s="16" t="n">
        <f aca="false">AVERAGEIFS(1_Kelime_Sayısı!D:D,1_Kelime_Sayısı!A:A,A5)</f>
        <v>740</v>
      </c>
    </row>
    <row r="6" customFormat="false" ht="15" hidden="false" customHeight="true" outlineLevel="0" collapsed="false">
      <c r="A6" s="15" t="n">
        <v>2019</v>
      </c>
      <c r="B6" s="16" t="n">
        <f aca="false">AVERAGEIFS(1_Kelime_Sayısı!C:C,1_Kelime_Sayısı!A:A,A6)</f>
        <v>1364</v>
      </c>
      <c r="C6" s="16" t="n">
        <f aca="false">AVERAGEIFS(1_Kelime_Sayısı!D:D,1_Kelime_Sayısı!A:A,A6)</f>
        <v>743</v>
      </c>
    </row>
    <row r="7" customFormat="false" ht="15" hidden="false" customHeight="true" outlineLevel="0" collapsed="false">
      <c r="A7" s="15" t="n">
        <v>2020</v>
      </c>
      <c r="B7" s="16" t="n">
        <f aca="false">AVERAGEIFS(1_Kelime_Sayısı!C:C,1_Kelime_Sayısı!A:A,A7)</f>
        <v>1759</v>
      </c>
      <c r="C7" s="16" t="n">
        <f aca="false">AVERAGEIFS(1_Kelime_Sayısı!D:D,1_Kelime_Sayısı!A:A,A7)</f>
        <v>748.5</v>
      </c>
    </row>
    <row r="8" customFormat="false" ht="15" hidden="false" customHeight="true" outlineLevel="0" collapsed="false">
      <c r="A8" s="15" t="n">
        <v>2021</v>
      </c>
      <c r="B8" s="16" t="n">
        <f aca="false">AVERAGEIFS(1_Kelime_Sayısı!C:C,1_Kelime_Sayısı!A:A,A8)</f>
        <v>1698</v>
      </c>
      <c r="C8" s="16" t="n">
        <f aca="false">AVERAGEIFS(1_Kelime_Sayısı!D:D,1_Kelime_Sayısı!A:A,A8)</f>
        <v>968</v>
      </c>
    </row>
    <row r="9" customFormat="false" ht="15" hidden="false" customHeight="true" outlineLevel="0" collapsed="false">
      <c r="A9" s="15" t="n">
        <v>2022</v>
      </c>
      <c r="B9" s="16" t="n">
        <f aca="false">AVERAGEIFS(1_Kelime_Sayısı!C:C,1_Kelime_Sayısı!A:A,A9)</f>
        <v>1723.5</v>
      </c>
      <c r="C9" s="16" t="n">
        <f aca="false">AVERAGEIFS(1_Kelime_Sayısı!D:D,1_Kelime_Sayısı!A:A,A9)</f>
        <v>807</v>
      </c>
    </row>
    <row r="10" customFormat="false" ht="15" hidden="false" customHeight="true" outlineLevel="0" collapsed="false">
      <c r="A10" s="15" t="n">
        <v>2023</v>
      </c>
      <c r="B10" s="16" t="n">
        <f aca="false">AVERAGEIFS(1_Kelime_Sayısı!C:C,1_Kelime_Sayısı!A:A,A10)</f>
        <v>1352</v>
      </c>
      <c r="C10" s="16" t="n">
        <f aca="false">AVERAGEIFS(1_Kelime_Sayısı!D:D,1_Kelime_Sayısı!A:A,A10)</f>
        <v>960</v>
      </c>
    </row>
    <row r="11" customFormat="false" ht="15" hidden="false" customHeight="true" outlineLevel="0" collapsed="false">
      <c r="A11" s="15" t="n">
        <v>2024</v>
      </c>
      <c r="B11" s="16" t="n">
        <f aca="false">AVERAGEIFS(1_Kelime_Sayısı!C:C,1_Kelime_Sayısı!A:A,A11)</f>
        <v>1359.5</v>
      </c>
      <c r="C11" s="16" t="n">
        <f aca="false">AVERAGEIFS(1_Kelime_Sayısı!D:D,1_Kelime_Sayısı!A:A,A11)</f>
        <v>1020.5</v>
      </c>
    </row>
    <row r="12" customFormat="false" ht="15" hidden="false" customHeight="true" outlineLevel="0" collapsed="false">
      <c r="A12" s="15" t="n">
        <v>2025</v>
      </c>
      <c r="B12" s="16" t="n">
        <f aca="false">AVERAGEIFS(1_Kelime_Sayısı!C:C,1_Kelime_Sayısı!A:A,A12)</f>
        <v>1376.5</v>
      </c>
      <c r="C12" s="16" t="n">
        <f aca="false">AVERAGEIFS(1_Kelime_Sayısı!D:D,1_Kelime_Sayısı!A:A,A12)</f>
        <v>1079</v>
      </c>
    </row>
    <row r="13" customFormat="false" ht="15" hidden="false" customHeight="true" outlineLevel="0" collapsed="false">
      <c r="A13" s="15" t="n">
        <v>2026</v>
      </c>
      <c r="B13" s="16" t="n">
        <f aca="false">AVERAGEIFS(1_Kelime_Sayısı!C:C,1_Kelime_Sayısı!A:A,A13)</f>
        <v>1808</v>
      </c>
      <c r="C13" s="16" t="n">
        <f aca="false">AVERAGEIFS(1_Kelime_Sayısı!D:D,1_Kelime_Sayısı!A:A,A13)</f>
        <v>905.5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9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</row>
    <row r="2" customFormat="false" ht="23.25" hidden="false" customHeight="true" outlineLevel="0" collapsed="false">
      <c r="A2" s="9" t="s">
        <v>29</v>
      </c>
      <c r="B2" s="9" t="s">
        <v>30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43</v>
      </c>
    </row>
    <row r="3" customFormat="false" ht="15" hidden="false" customHeight="true" outlineLevel="0" collapsed="false">
      <c r="A3" s="10" t="n">
        <v>2016</v>
      </c>
      <c r="B3" s="11" t="n">
        <v>1</v>
      </c>
      <c r="C3" s="12" t="n">
        <v>599</v>
      </c>
      <c r="D3" s="17" t="n">
        <f aca="false">C3/22</f>
        <v>27.2272727272727</v>
      </c>
      <c r="E3" s="17" t="n">
        <v>9.5</v>
      </c>
      <c r="F3" s="18" t="n">
        <v>4.01</v>
      </c>
      <c r="G3" s="19" t="n">
        <v>0.65</v>
      </c>
    </row>
    <row r="4" customFormat="false" ht="15" hidden="false" customHeight="true" outlineLevel="0" collapsed="false">
      <c r="A4" s="10" t="n">
        <v>2017</v>
      </c>
      <c r="B4" s="11" t="n">
        <v>1</v>
      </c>
      <c r="C4" s="12" t="n">
        <v>690</v>
      </c>
      <c r="D4" s="17" t="n">
        <f aca="false">C4/22</f>
        <v>31.3636363636364</v>
      </c>
      <c r="E4" s="17" t="n">
        <v>9.5</v>
      </c>
      <c r="F4" s="18" t="n">
        <v>4.07</v>
      </c>
      <c r="G4" s="19" t="n">
        <v>0.691</v>
      </c>
    </row>
    <row r="5" customFormat="false" ht="15" hidden="false" customHeight="true" outlineLevel="0" collapsed="false">
      <c r="A5" s="10" t="n">
        <v>2017</v>
      </c>
      <c r="B5" s="11" t="n">
        <v>2</v>
      </c>
      <c r="C5" s="12" t="n">
        <v>729</v>
      </c>
      <c r="D5" s="17" t="n">
        <f aca="false">C5/22</f>
        <v>33.1363636363636</v>
      </c>
      <c r="E5" s="17" t="n">
        <v>9.5</v>
      </c>
      <c r="F5" s="18" t="n">
        <v>3.95</v>
      </c>
      <c r="G5" s="19" t="n">
        <v>0.717</v>
      </c>
    </row>
    <row r="6" customFormat="false" ht="15" hidden="false" customHeight="true" outlineLevel="0" collapsed="false">
      <c r="A6" s="10" t="n">
        <v>2018</v>
      </c>
      <c r="B6" s="11" t="n">
        <v>1</v>
      </c>
      <c r="C6" s="12" t="n">
        <v>671</v>
      </c>
      <c r="D6" s="17" t="n">
        <f aca="false">C6/22</f>
        <v>30.5</v>
      </c>
      <c r="E6" s="17" t="n">
        <v>7.8</v>
      </c>
      <c r="F6" s="18" t="n">
        <v>4.02</v>
      </c>
      <c r="G6" s="19" t="n">
        <v>0.703</v>
      </c>
    </row>
    <row r="7" customFormat="false" ht="15" hidden="false" customHeight="true" outlineLevel="0" collapsed="false">
      <c r="A7" s="10" t="n">
        <v>2018</v>
      </c>
      <c r="B7" s="11" t="n">
        <v>2</v>
      </c>
      <c r="C7" s="12" t="n">
        <v>809</v>
      </c>
      <c r="D7" s="17" t="n">
        <f aca="false">C7/22</f>
        <v>36.7727272727273</v>
      </c>
      <c r="E7" s="17" t="n">
        <v>10.8</v>
      </c>
      <c r="F7" s="18" t="n">
        <v>4.37</v>
      </c>
      <c r="G7" s="19" t="n">
        <v>0.719</v>
      </c>
    </row>
    <row r="8" customFormat="false" ht="15" hidden="false" customHeight="true" outlineLevel="0" collapsed="false">
      <c r="A8" s="10" t="n">
        <v>2019</v>
      </c>
      <c r="B8" s="11" t="n">
        <v>2</v>
      </c>
      <c r="C8" s="12" t="n">
        <v>743</v>
      </c>
      <c r="D8" s="17" t="n">
        <f aca="false">C8/22</f>
        <v>33.7727272727273</v>
      </c>
      <c r="E8" s="17" t="n">
        <v>10.9</v>
      </c>
      <c r="F8" s="18" t="n">
        <v>4.37</v>
      </c>
      <c r="G8" s="19" t="n">
        <v>0.747</v>
      </c>
    </row>
    <row r="9" customFormat="false" ht="15" hidden="false" customHeight="true" outlineLevel="0" collapsed="false">
      <c r="A9" s="10" t="n">
        <v>2020</v>
      </c>
      <c r="B9" s="11" t="n">
        <v>1</v>
      </c>
      <c r="C9" s="12" t="n">
        <v>693</v>
      </c>
      <c r="D9" s="17" t="n">
        <f aca="false">C9/22</f>
        <v>31.5</v>
      </c>
      <c r="E9" s="17" t="n">
        <v>9.2</v>
      </c>
      <c r="F9" s="18" t="n">
        <v>4.05</v>
      </c>
      <c r="G9" s="19" t="n">
        <v>0.719</v>
      </c>
    </row>
    <row r="10" customFormat="false" ht="15" hidden="false" customHeight="true" outlineLevel="0" collapsed="false">
      <c r="A10" s="10" t="n">
        <v>2020</v>
      </c>
      <c r="B10" s="11" t="n">
        <v>2</v>
      </c>
      <c r="C10" s="12" t="n">
        <v>804</v>
      </c>
      <c r="D10" s="17" t="n">
        <f aca="false">C10/22</f>
        <v>36.5454545454546</v>
      </c>
      <c r="E10" s="17" t="n">
        <v>10.9</v>
      </c>
      <c r="F10" s="18" t="n">
        <v>3.95</v>
      </c>
      <c r="G10" s="19" t="n">
        <v>0.718</v>
      </c>
    </row>
    <row r="11" customFormat="false" ht="15" hidden="false" customHeight="true" outlineLevel="0" collapsed="false">
      <c r="A11" s="10" t="n">
        <v>2021</v>
      </c>
      <c r="B11" s="11" t="n">
        <v>1</v>
      </c>
      <c r="C11" s="12" t="n">
        <v>968</v>
      </c>
      <c r="D11" s="17" t="n">
        <f aca="false">C11/22</f>
        <v>44</v>
      </c>
      <c r="E11" s="17" t="n">
        <v>8.4</v>
      </c>
      <c r="F11" s="18" t="n">
        <v>3.9</v>
      </c>
      <c r="G11" s="19" t="n">
        <v>0.684</v>
      </c>
    </row>
    <row r="12" customFormat="false" ht="15" hidden="false" customHeight="true" outlineLevel="0" collapsed="false">
      <c r="A12" s="10" t="n">
        <v>2022</v>
      </c>
      <c r="B12" s="11" t="n">
        <v>1</v>
      </c>
      <c r="C12" s="12" t="n">
        <v>791</v>
      </c>
      <c r="D12" s="17" t="n">
        <f aca="false">C12/22</f>
        <v>35.9545454545455</v>
      </c>
      <c r="E12" s="17" t="n">
        <v>8.5</v>
      </c>
      <c r="F12" s="18" t="n">
        <v>3.91</v>
      </c>
      <c r="G12" s="19" t="n">
        <v>0.693</v>
      </c>
    </row>
    <row r="13" customFormat="false" ht="15" hidden="false" customHeight="true" outlineLevel="0" collapsed="false">
      <c r="A13" s="10" t="n">
        <v>2022</v>
      </c>
      <c r="B13" s="11" t="n">
        <v>2</v>
      </c>
      <c r="C13" s="12" t="n">
        <v>823</v>
      </c>
      <c r="D13" s="17" t="n">
        <f aca="false">C13/22</f>
        <v>37.4090909090909</v>
      </c>
      <c r="E13" s="17" t="n">
        <v>9.4</v>
      </c>
      <c r="F13" s="18" t="n">
        <v>4.07</v>
      </c>
      <c r="G13" s="19" t="n">
        <v>0.708</v>
      </c>
    </row>
    <row r="14" customFormat="false" ht="15" hidden="false" customHeight="true" outlineLevel="0" collapsed="false">
      <c r="A14" s="10" t="n">
        <v>2023</v>
      </c>
      <c r="B14" s="11" t="n">
        <v>1</v>
      </c>
      <c r="C14" s="12" t="n">
        <v>991</v>
      </c>
      <c r="D14" s="17" t="n">
        <f aca="false">C14/22</f>
        <v>45.0454545454546</v>
      </c>
      <c r="E14" s="17" t="n">
        <v>9.7</v>
      </c>
      <c r="F14" s="18" t="n">
        <v>4</v>
      </c>
      <c r="G14" s="19" t="n">
        <v>0.694</v>
      </c>
    </row>
    <row r="15" customFormat="false" ht="15" hidden="false" customHeight="true" outlineLevel="0" collapsed="false">
      <c r="A15" s="10" t="n">
        <v>2023</v>
      </c>
      <c r="B15" s="11" t="n">
        <v>2</v>
      </c>
      <c r="C15" s="12" t="n">
        <v>929</v>
      </c>
      <c r="D15" s="17" t="n">
        <f aca="false">C15/22</f>
        <v>42.2272727272727</v>
      </c>
      <c r="E15" s="17" t="n">
        <v>9.9</v>
      </c>
      <c r="F15" s="18" t="n">
        <v>4.06</v>
      </c>
      <c r="G15" s="19" t="n">
        <v>0.713</v>
      </c>
    </row>
    <row r="16" customFormat="false" ht="15" hidden="false" customHeight="true" outlineLevel="0" collapsed="false">
      <c r="A16" s="10" t="n">
        <v>2024</v>
      </c>
      <c r="B16" s="11" t="n">
        <v>1</v>
      </c>
      <c r="C16" s="12" t="n">
        <v>902</v>
      </c>
      <c r="D16" s="17" t="n">
        <f aca="false">C16/22</f>
        <v>41</v>
      </c>
      <c r="E16" s="17" t="n">
        <v>9.9</v>
      </c>
      <c r="F16" s="18" t="n">
        <v>3.93</v>
      </c>
      <c r="G16" s="19" t="n">
        <v>0.664</v>
      </c>
    </row>
    <row r="17" customFormat="false" ht="15" hidden="false" customHeight="true" outlineLevel="0" collapsed="false">
      <c r="A17" s="10" t="n">
        <v>2024</v>
      </c>
      <c r="B17" s="11" t="n">
        <v>2</v>
      </c>
      <c r="C17" s="12" t="n">
        <v>1139</v>
      </c>
      <c r="D17" s="17" t="n">
        <f aca="false">C17/22</f>
        <v>51.7727272727273</v>
      </c>
      <c r="E17" s="17" t="n">
        <v>9.7</v>
      </c>
      <c r="F17" s="18" t="n">
        <v>3.94</v>
      </c>
      <c r="G17" s="19" t="n">
        <v>0.712</v>
      </c>
    </row>
    <row r="18" customFormat="false" ht="15" hidden="false" customHeight="true" outlineLevel="0" collapsed="false">
      <c r="A18" s="10" t="n">
        <v>2025</v>
      </c>
      <c r="B18" s="11" t="n">
        <v>1</v>
      </c>
      <c r="C18" s="12" t="n">
        <v>1110</v>
      </c>
      <c r="D18" s="17" t="n">
        <f aca="false">C18/22</f>
        <v>50.4545454545455</v>
      </c>
      <c r="E18" s="17" t="n">
        <v>11.1</v>
      </c>
      <c r="F18" s="18" t="n">
        <v>3.89</v>
      </c>
      <c r="G18" s="19" t="n">
        <v>0.686</v>
      </c>
    </row>
    <row r="19" customFormat="false" ht="15" hidden="false" customHeight="true" outlineLevel="0" collapsed="false">
      <c r="A19" s="10" t="n">
        <v>2025</v>
      </c>
      <c r="B19" s="11" t="n">
        <v>2</v>
      </c>
      <c r="C19" s="12" t="n">
        <v>1048</v>
      </c>
      <c r="D19" s="17" t="n">
        <f aca="false">C19/22</f>
        <v>47.6363636363636</v>
      </c>
      <c r="E19" s="17" t="n">
        <v>10.6</v>
      </c>
      <c r="F19" s="18" t="n">
        <v>4.24</v>
      </c>
      <c r="G19" s="19" t="n">
        <v>0.696</v>
      </c>
    </row>
    <row r="20" customFormat="false" ht="15" hidden="false" customHeight="true" outlineLevel="0" collapsed="false">
      <c r="A20" s="10" t="n">
        <v>2026</v>
      </c>
      <c r="B20" s="11" t="n">
        <v>1</v>
      </c>
      <c r="C20" s="12" t="n">
        <v>908</v>
      </c>
      <c r="D20" s="17" t="n">
        <f aca="false">C20/22</f>
        <v>41.2727272727273</v>
      </c>
      <c r="E20" s="17" t="n">
        <v>10.3</v>
      </c>
      <c r="F20" s="18" t="n">
        <v>4.02</v>
      </c>
      <c r="G20" s="19" t="n">
        <v>0.711</v>
      </c>
    </row>
    <row r="21" customFormat="false" ht="15" hidden="false" customHeight="true" outlineLevel="0" collapsed="false">
      <c r="A21" s="10" t="n">
        <v>2026</v>
      </c>
      <c r="B21" s="11" t="n">
        <v>2</v>
      </c>
      <c r="C21" s="12" t="n">
        <v>903</v>
      </c>
      <c r="D21" s="17" t="n">
        <f aca="false">C21/22</f>
        <v>41.0454545454546</v>
      </c>
      <c r="E21" s="17" t="n">
        <v>10.6</v>
      </c>
      <c r="F21" s="18" t="n">
        <v>4.02</v>
      </c>
      <c r="G21" s="19" t="n">
        <v>0.707</v>
      </c>
    </row>
    <row r="23" customFormat="false" ht="15" hidden="false" customHeight="true" outlineLevel="0" collapsed="false">
      <c r="A23" s="14" t="s">
        <v>44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8"/>
  </cols>
  <sheetData>
    <row r="1" customFormat="false" ht="15.7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9" t="s">
        <v>29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  <c r="H2" s="9" t="s">
        <v>52</v>
      </c>
    </row>
    <row r="3" customFormat="false" ht="15" hidden="false" customHeight="true" outlineLevel="0" collapsed="false">
      <c r="A3" s="10" t="n">
        <v>2017</v>
      </c>
      <c r="B3" s="12" t="n">
        <v>729</v>
      </c>
      <c r="C3" s="12" t="n">
        <v>314</v>
      </c>
      <c r="D3" s="18" t="n">
        <v>5.332</v>
      </c>
      <c r="E3" s="10" t="n">
        <v>20</v>
      </c>
      <c r="F3" s="20" t="n">
        <f aca="false">E3/C3</f>
        <v>0.0636942675159236</v>
      </c>
      <c r="G3" s="10" t="n">
        <v>7</v>
      </c>
      <c r="H3" s="20" t="n">
        <f aca="false">G3/C3</f>
        <v>0.0222929936305732</v>
      </c>
    </row>
    <row r="4" customFormat="false" ht="15" hidden="false" customHeight="true" outlineLevel="0" collapsed="false">
      <c r="A4" s="10" t="n">
        <v>2018</v>
      </c>
      <c r="B4" s="12" t="n">
        <v>824</v>
      </c>
      <c r="C4" s="12" t="n">
        <v>345</v>
      </c>
      <c r="D4" s="18" t="n">
        <v>5.165</v>
      </c>
      <c r="E4" s="10" t="n">
        <v>46</v>
      </c>
      <c r="F4" s="20" t="n">
        <f aca="false">E4/C4</f>
        <v>0.133333333333333</v>
      </c>
      <c r="G4" s="10" t="n">
        <v>17</v>
      </c>
      <c r="H4" s="20" t="n">
        <f aca="false">G4/C4</f>
        <v>0.0492753623188406</v>
      </c>
    </row>
    <row r="5" customFormat="false" ht="15" hidden="false" customHeight="true" outlineLevel="0" collapsed="false">
      <c r="A5" s="10" t="n">
        <v>2019</v>
      </c>
      <c r="B5" s="12" t="n">
        <v>733</v>
      </c>
      <c r="C5" s="12" t="n">
        <v>349</v>
      </c>
      <c r="D5" s="18" t="n">
        <v>5.118</v>
      </c>
      <c r="E5" s="10" t="n">
        <v>54</v>
      </c>
      <c r="F5" s="20" t="n">
        <f aca="false">E5/C5</f>
        <v>0.154727793696275</v>
      </c>
      <c r="G5" s="10" t="n">
        <v>15</v>
      </c>
      <c r="H5" s="20" t="n">
        <f aca="false">G5/C5</f>
        <v>0.0429799426934097</v>
      </c>
    </row>
    <row r="6" customFormat="false" ht="15" hidden="false" customHeight="true" outlineLevel="0" collapsed="false">
      <c r="A6" s="10" t="n">
        <v>2020</v>
      </c>
      <c r="B6" s="12" t="n">
        <v>813</v>
      </c>
      <c r="C6" s="12" t="n">
        <v>321</v>
      </c>
      <c r="D6" s="18" t="n">
        <v>5.289</v>
      </c>
      <c r="E6" s="10" t="n">
        <v>38</v>
      </c>
      <c r="F6" s="20" t="n">
        <f aca="false">E6/C6</f>
        <v>0.118380062305296</v>
      </c>
      <c r="G6" s="10" t="n">
        <v>16</v>
      </c>
      <c r="H6" s="20" t="n">
        <f aca="false">G6/C6</f>
        <v>0.0498442367601246</v>
      </c>
    </row>
    <row r="7" customFormat="false" ht="15" hidden="false" customHeight="true" outlineLevel="0" collapsed="false">
      <c r="A7" s="10" t="n">
        <v>2022</v>
      </c>
      <c r="B7" s="12" t="n">
        <v>817</v>
      </c>
      <c r="C7" s="12" t="n">
        <v>321</v>
      </c>
      <c r="D7" s="18" t="n">
        <v>5.246</v>
      </c>
      <c r="E7" s="10" t="n">
        <v>29</v>
      </c>
      <c r="F7" s="20" t="n">
        <f aca="false">E7/C7</f>
        <v>0.0903426791277259</v>
      </c>
      <c r="G7" s="10" t="n">
        <v>9</v>
      </c>
      <c r="H7" s="20" t="n">
        <f aca="false">G7/C7</f>
        <v>0.0280373831775701</v>
      </c>
    </row>
    <row r="8" customFormat="false" ht="15" hidden="false" customHeight="true" outlineLevel="0" collapsed="false">
      <c r="A8" s="10" t="n">
        <v>2023</v>
      </c>
      <c r="B8" s="12" t="n">
        <v>935</v>
      </c>
      <c r="C8" s="12" t="n">
        <v>368</v>
      </c>
      <c r="D8" s="18" t="n">
        <v>5.219</v>
      </c>
      <c r="E8" s="10" t="n">
        <v>43</v>
      </c>
      <c r="F8" s="20" t="n">
        <f aca="false">E8/C8</f>
        <v>0.116847826086957</v>
      </c>
      <c r="G8" s="10" t="n">
        <v>18</v>
      </c>
      <c r="H8" s="20" t="n">
        <f aca="false">G8/C8</f>
        <v>0.0489130434782609</v>
      </c>
    </row>
    <row r="9" customFormat="false" ht="15" hidden="false" customHeight="true" outlineLevel="0" collapsed="false">
      <c r="A9" s="10" t="n">
        <v>2024</v>
      </c>
      <c r="B9" s="12" t="n">
        <v>1153</v>
      </c>
      <c r="C9" s="12" t="n">
        <v>406</v>
      </c>
      <c r="D9" s="18" t="n">
        <v>5.102</v>
      </c>
      <c r="E9" s="10" t="n">
        <v>63</v>
      </c>
      <c r="F9" s="20" t="n">
        <f aca="false">E9/C9</f>
        <v>0.155172413793103</v>
      </c>
      <c r="G9" s="10" t="n">
        <v>20</v>
      </c>
      <c r="H9" s="20" t="n">
        <f aca="false">G9/C9</f>
        <v>0.0492610837438424</v>
      </c>
    </row>
    <row r="10" customFormat="false" ht="15" hidden="false" customHeight="true" outlineLevel="0" collapsed="false">
      <c r="A10" s="10" t="n">
        <v>2025</v>
      </c>
      <c r="B10" s="12" t="n">
        <v>1091</v>
      </c>
      <c r="C10" s="12" t="n">
        <v>404</v>
      </c>
      <c r="D10" s="18" t="n">
        <v>5.08</v>
      </c>
      <c r="E10" s="10" t="n">
        <v>56</v>
      </c>
      <c r="F10" s="20" t="n">
        <f aca="false">E10/C10</f>
        <v>0.138613861386139</v>
      </c>
      <c r="G10" s="10" t="n">
        <v>23</v>
      </c>
      <c r="H10" s="20" t="n">
        <f aca="false">G10/C10</f>
        <v>0.0569306930693069</v>
      </c>
    </row>
    <row r="11" customFormat="false" ht="15" hidden="false" customHeight="true" outlineLevel="0" collapsed="false">
      <c r="A11" s="10" t="n">
        <v>2026</v>
      </c>
      <c r="B11" s="12" t="n">
        <v>927</v>
      </c>
      <c r="C11" s="12" t="n">
        <v>368</v>
      </c>
      <c r="D11" s="18" t="n">
        <v>5.226</v>
      </c>
      <c r="E11" s="10" t="n">
        <v>41</v>
      </c>
      <c r="F11" s="20" t="n">
        <f aca="false">E11/C11</f>
        <v>0.111413043478261</v>
      </c>
      <c r="G11" s="10" t="n">
        <v>14</v>
      </c>
      <c r="H11" s="20" t="n">
        <f aca="false">G11/C11</f>
        <v>0.0380434782608696</v>
      </c>
    </row>
    <row r="13" customFormat="false" ht="15" hidden="false" customHeight="true" outlineLevel="0" collapsed="false">
      <c r="A13" s="14" t="s">
        <v>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6"/>
  </cols>
  <sheetData>
    <row r="1" customFormat="false" ht="15.75" hidden="false" customHeight="true" outlineLevel="0" collapsed="false">
      <c r="A1" s="2" t="s">
        <v>54</v>
      </c>
      <c r="B1" s="2"/>
      <c r="C1" s="2"/>
      <c r="D1" s="2"/>
      <c r="E1" s="2"/>
      <c r="F1" s="2"/>
    </row>
    <row r="2" customFormat="false" ht="23.25" hidden="false" customHeight="true" outlineLevel="0" collapsed="false">
      <c r="A2" s="9" t="s">
        <v>29</v>
      </c>
      <c r="B2" s="9" t="s">
        <v>55</v>
      </c>
      <c r="C2" s="9" t="s">
        <v>56</v>
      </c>
      <c r="D2" s="9" t="s">
        <v>57</v>
      </c>
      <c r="E2" s="9" t="s">
        <v>39</v>
      </c>
      <c r="F2" s="9" t="s">
        <v>58</v>
      </c>
    </row>
    <row r="3" customFormat="false" ht="15" hidden="false" customHeight="true" outlineLevel="0" collapsed="false">
      <c r="A3" s="10" t="n">
        <v>2017</v>
      </c>
      <c r="B3" s="17" t="n">
        <v>89.1</v>
      </c>
      <c r="C3" s="17" t="n">
        <v>3.5</v>
      </c>
      <c r="D3" s="17" t="n">
        <v>4.8</v>
      </c>
      <c r="E3" s="12" t="n">
        <v>766</v>
      </c>
      <c r="F3" s="17" t="n">
        <f aca="false">E3/130</f>
        <v>5.89230769230769</v>
      </c>
    </row>
    <row r="4" customFormat="false" ht="15" hidden="false" customHeight="true" outlineLevel="0" collapsed="false">
      <c r="A4" s="10" t="n">
        <v>2018</v>
      </c>
      <c r="B4" s="17" t="n">
        <v>78.8</v>
      </c>
      <c r="C4" s="17" t="n">
        <v>5.4</v>
      </c>
      <c r="D4" s="17" t="n">
        <v>6.6</v>
      </c>
      <c r="E4" s="12" t="n">
        <v>860</v>
      </c>
      <c r="F4" s="17" t="n">
        <f aca="false">E4/130</f>
        <v>6.61538461538462</v>
      </c>
    </row>
    <row r="5" customFormat="false" ht="15" hidden="false" customHeight="true" outlineLevel="0" collapsed="false">
      <c r="A5" s="10" t="n">
        <v>2019</v>
      </c>
      <c r="B5" s="17" t="n">
        <v>82.3</v>
      </c>
      <c r="C5" s="17" t="n">
        <v>4.7</v>
      </c>
      <c r="D5" s="17" t="n">
        <v>5.8</v>
      </c>
      <c r="E5" s="12" t="n">
        <v>777</v>
      </c>
      <c r="F5" s="17" t="n">
        <f aca="false">E5/130</f>
        <v>5.97692307692308</v>
      </c>
    </row>
    <row r="6" customFormat="false" ht="15" hidden="false" customHeight="true" outlineLevel="0" collapsed="false">
      <c r="A6" s="10" t="n">
        <v>2020</v>
      </c>
      <c r="B6" s="17" t="n">
        <v>88</v>
      </c>
      <c r="C6" s="17" t="n">
        <v>4.1</v>
      </c>
      <c r="D6" s="17" t="n">
        <v>5.6</v>
      </c>
      <c r="E6" s="12" t="n">
        <v>875</v>
      </c>
      <c r="F6" s="17" t="n">
        <f aca="false">E6/130</f>
        <v>6.73076923076923</v>
      </c>
    </row>
    <row r="7" customFormat="false" ht="15" hidden="false" customHeight="true" outlineLevel="0" collapsed="false">
      <c r="A7" s="10" t="n">
        <v>2022</v>
      </c>
      <c r="B7" s="17" t="n">
        <v>86.8</v>
      </c>
      <c r="C7" s="17" t="n">
        <v>3.9</v>
      </c>
      <c r="D7" s="17" t="n">
        <v>5.5</v>
      </c>
      <c r="E7" s="12" t="n">
        <v>866</v>
      </c>
      <c r="F7" s="17" t="n">
        <f aca="false">E7/130</f>
        <v>6.66153846153846</v>
      </c>
    </row>
    <row r="8" customFormat="false" ht="15" hidden="false" customHeight="true" outlineLevel="0" collapsed="false">
      <c r="A8" s="10" t="n">
        <v>2023</v>
      </c>
      <c r="B8" s="17" t="n">
        <v>87.2</v>
      </c>
      <c r="C8" s="17" t="n">
        <v>3.8</v>
      </c>
      <c r="D8" s="17" t="n">
        <v>5.3</v>
      </c>
      <c r="E8" s="12" t="n">
        <v>969</v>
      </c>
      <c r="F8" s="17" t="n">
        <f aca="false">E8/130</f>
        <v>7.45384615384615</v>
      </c>
    </row>
    <row r="9" customFormat="false" ht="15" hidden="false" customHeight="true" outlineLevel="0" collapsed="false">
      <c r="A9" s="10" t="n">
        <v>2024</v>
      </c>
      <c r="B9" s="17" t="n">
        <v>89.4</v>
      </c>
      <c r="C9" s="17" t="n">
        <v>3.3</v>
      </c>
      <c r="D9" s="17" t="n">
        <v>5.2</v>
      </c>
      <c r="E9" s="12" t="n">
        <v>1156</v>
      </c>
      <c r="F9" s="17" t="n">
        <f aca="false">E9/130</f>
        <v>8.89230769230769</v>
      </c>
    </row>
    <row r="10" customFormat="false" ht="15" hidden="false" customHeight="true" outlineLevel="0" collapsed="false">
      <c r="A10" s="10" t="n">
        <v>2025</v>
      </c>
      <c r="B10" s="17" t="n">
        <v>80.3</v>
      </c>
      <c r="C10" s="17" t="n">
        <v>5</v>
      </c>
      <c r="D10" s="17" t="n">
        <v>6.9</v>
      </c>
      <c r="E10" s="12" t="n">
        <v>1105</v>
      </c>
      <c r="F10" s="17" t="n">
        <f aca="false">E10/130</f>
        <v>8.5</v>
      </c>
    </row>
    <row r="11" customFormat="false" ht="15" hidden="false" customHeight="true" outlineLevel="0" collapsed="false">
      <c r="A11" s="10" t="n">
        <v>2026</v>
      </c>
      <c r="B11" s="17" t="n">
        <v>87.5</v>
      </c>
      <c r="C11" s="17" t="n">
        <v>4.1</v>
      </c>
      <c r="D11" s="17" t="n">
        <v>6.2</v>
      </c>
      <c r="E11" s="12" t="n">
        <v>963</v>
      </c>
      <c r="F11" s="17" t="n">
        <f aca="false">E11/130</f>
        <v>7.40769230769231</v>
      </c>
    </row>
    <row r="13" customFormat="false" ht="15" hidden="false" customHeight="true" outlineLevel="0" collapsed="false">
      <c r="A13" s="14" t="s">
        <v>59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0"/>
    <col collapsed="false" customWidth="true" hidden="false" outlineLevel="0" max="12" min="12" style="1" width="12"/>
    <col collapsed="false" customWidth="true" hidden="false" outlineLevel="0" max="13" min="13" style="1" width="14"/>
  </cols>
  <sheetData>
    <row r="1" customFormat="false" ht="15.7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3.25" hidden="false" customHeight="true" outlineLevel="0" collapsed="false">
      <c r="A2" s="9" t="s">
        <v>29</v>
      </c>
      <c r="B2" s="9" t="s">
        <v>61</v>
      </c>
      <c r="C2" s="9" t="s">
        <v>62</v>
      </c>
      <c r="D2" s="9" t="s">
        <v>63</v>
      </c>
      <c r="E2" s="9" t="s">
        <v>64</v>
      </c>
      <c r="F2" s="9" t="s">
        <v>65</v>
      </c>
      <c r="G2" s="9" t="s">
        <v>66</v>
      </c>
      <c r="H2" s="9" t="s">
        <v>67</v>
      </c>
      <c r="I2" s="9" t="s">
        <v>68</v>
      </c>
      <c r="J2" s="9" t="s">
        <v>69</v>
      </c>
      <c r="K2" s="9" t="s">
        <v>70</v>
      </c>
      <c r="L2" s="9" t="s">
        <v>71</v>
      </c>
      <c r="M2" s="9" t="s">
        <v>72</v>
      </c>
    </row>
    <row r="3" customFormat="false" ht="15" hidden="false" customHeight="true" outlineLevel="0" collapsed="false">
      <c r="A3" s="10" t="n">
        <v>2016</v>
      </c>
      <c r="B3" s="18" t="n">
        <v>12.08</v>
      </c>
      <c r="C3" s="18" t="n">
        <v>18.48</v>
      </c>
      <c r="D3" s="18" t="n">
        <v>8.81</v>
      </c>
      <c r="E3" s="18" t="n">
        <v>15.38</v>
      </c>
      <c r="F3" s="18" t="n">
        <v>22</v>
      </c>
      <c r="G3" s="20" t="n">
        <f aca="false">B3/14</f>
        <v>0.862857142857143</v>
      </c>
      <c r="H3" s="20" t="n">
        <f aca="false">C3/27</f>
        <v>0.684444444444444</v>
      </c>
      <c r="I3" s="20" t="n">
        <f aca="false">D3/10</f>
        <v>0.881</v>
      </c>
      <c r="J3" s="20" t="n">
        <f aca="false">E3/22</f>
        <v>0.699090909090909</v>
      </c>
      <c r="K3" s="20" t="n">
        <f aca="false">F3/27</f>
        <v>0.814814814814815</v>
      </c>
      <c r="L3" s="20" t="n">
        <f aca="false">AVERAGE(G3,H3,I3,K3)</f>
        <v>0.810779100529101</v>
      </c>
      <c r="M3" s="21" t="n">
        <f aca="false">(J3-L3)*100</f>
        <v>-11.1688191438191</v>
      </c>
    </row>
    <row r="4" customFormat="false" ht="15" hidden="false" customHeight="true" outlineLevel="0" collapsed="false">
      <c r="A4" s="10" t="n">
        <v>2017</v>
      </c>
      <c r="B4" s="18" t="n">
        <v>10.98</v>
      </c>
      <c r="C4" s="18" t="n">
        <v>16.95</v>
      </c>
      <c r="D4" s="18" t="n">
        <v>8.28</v>
      </c>
      <c r="E4" s="18" t="n">
        <v>13.21</v>
      </c>
      <c r="F4" s="18" t="n">
        <v>19.86</v>
      </c>
      <c r="G4" s="20" t="n">
        <f aca="false">B4/14</f>
        <v>0.784285714285714</v>
      </c>
      <c r="H4" s="20" t="n">
        <f aca="false">C4/27</f>
        <v>0.627777777777778</v>
      </c>
      <c r="I4" s="20" t="n">
        <f aca="false">D4/10</f>
        <v>0.828</v>
      </c>
      <c r="J4" s="20" t="n">
        <f aca="false">E4/22</f>
        <v>0.600454545454546</v>
      </c>
      <c r="K4" s="20" t="n">
        <f aca="false">F4/27</f>
        <v>0.735555555555556</v>
      </c>
      <c r="L4" s="20" t="n">
        <f aca="false">AVERAGE(G4,H4,I4,K4)</f>
        <v>0.743904761904762</v>
      </c>
      <c r="M4" s="21" t="n">
        <f aca="false">(J4-L4)*100</f>
        <v>-14.3450216450216</v>
      </c>
    </row>
    <row r="5" customFormat="false" ht="15" hidden="false" customHeight="true" outlineLevel="0" collapsed="false">
      <c r="A5" s="10" t="n">
        <v>2018</v>
      </c>
      <c r="B5" s="18" t="n">
        <v>12.86</v>
      </c>
      <c r="C5" s="18" t="n">
        <v>18.35</v>
      </c>
      <c r="D5" s="18" t="n">
        <v>8.72</v>
      </c>
      <c r="E5" s="18" t="n">
        <v>15.96</v>
      </c>
      <c r="F5" s="18" t="n">
        <v>22.42</v>
      </c>
      <c r="G5" s="20" t="n">
        <f aca="false">B5/14</f>
        <v>0.918571428571429</v>
      </c>
      <c r="H5" s="20" t="n">
        <f aca="false">C5/27</f>
        <v>0.67962962962963</v>
      </c>
      <c r="I5" s="20" t="n">
        <f aca="false">D5/10</f>
        <v>0.872</v>
      </c>
      <c r="J5" s="20" t="n">
        <f aca="false">E5/22</f>
        <v>0.725454545454546</v>
      </c>
      <c r="K5" s="20" t="n">
        <f aca="false">F5/27</f>
        <v>0.83037037037037</v>
      </c>
      <c r="L5" s="20" t="n">
        <f aca="false">AVERAGE(G5,H5,I5,K5)</f>
        <v>0.825142857142857</v>
      </c>
      <c r="M5" s="21" t="n">
        <f aca="false">(J5-L5)*100</f>
        <v>-9.96883116883117</v>
      </c>
    </row>
    <row r="6" customFormat="false" ht="15" hidden="false" customHeight="true" outlineLevel="0" collapsed="false">
      <c r="A6" s="10" t="n">
        <v>2019</v>
      </c>
      <c r="B6" s="18" t="n">
        <v>12.01</v>
      </c>
      <c r="C6" s="18" t="n">
        <v>18.8</v>
      </c>
      <c r="D6" s="18" t="n">
        <v>8.4</v>
      </c>
      <c r="E6" s="18" t="n">
        <v>15.45</v>
      </c>
      <c r="F6" s="18" t="n">
        <v>19.2</v>
      </c>
      <c r="G6" s="20" t="n">
        <f aca="false">B6/14</f>
        <v>0.857857142857143</v>
      </c>
      <c r="H6" s="20" t="n">
        <f aca="false">C6/27</f>
        <v>0.696296296296296</v>
      </c>
      <c r="I6" s="20" t="n">
        <f aca="false">D6/10</f>
        <v>0.84</v>
      </c>
      <c r="J6" s="20" t="n">
        <f aca="false">E6/22</f>
        <v>0.702272727272727</v>
      </c>
      <c r="K6" s="20" t="n">
        <f aca="false">F6/27</f>
        <v>0.711111111111111</v>
      </c>
      <c r="L6" s="20" t="n">
        <f aca="false">AVERAGE(G6,H6,I6,K6)</f>
        <v>0.776316137566138</v>
      </c>
      <c r="M6" s="21" t="n">
        <f aca="false">(J6-L6)*100</f>
        <v>-7.40434102934103</v>
      </c>
    </row>
    <row r="7" customFormat="false" ht="15" hidden="false" customHeight="true" outlineLevel="0" collapsed="false">
      <c r="A7" s="10" t="n">
        <v>2020</v>
      </c>
      <c r="B7" s="18" t="n">
        <v>11.64</v>
      </c>
      <c r="C7" s="18" t="n">
        <v>18.64</v>
      </c>
      <c r="D7" s="18" t="n">
        <v>8.31</v>
      </c>
      <c r="E7" s="18" t="n">
        <v>16.02</v>
      </c>
      <c r="F7" s="18" t="n">
        <v>21.2</v>
      </c>
      <c r="G7" s="20" t="n">
        <f aca="false">B7/14</f>
        <v>0.831428571428572</v>
      </c>
      <c r="H7" s="20" t="n">
        <f aca="false">C7/27</f>
        <v>0.69037037037037</v>
      </c>
      <c r="I7" s="20" t="n">
        <f aca="false">D7/10</f>
        <v>0.831</v>
      </c>
      <c r="J7" s="20" t="n">
        <f aca="false">E7/22</f>
        <v>0.728181818181818</v>
      </c>
      <c r="K7" s="20" t="n">
        <f aca="false">F7/27</f>
        <v>0.785185185185185</v>
      </c>
      <c r="L7" s="20" t="n">
        <f aca="false">AVERAGE(G7,H7,I7,K7)</f>
        <v>0.784496031746032</v>
      </c>
      <c r="M7" s="21" t="n">
        <f aca="false">(J7-L7)*100</f>
        <v>-5.63142135642136</v>
      </c>
    </row>
    <row r="8" customFormat="false" ht="15" hidden="false" customHeight="true" outlineLevel="0" collapsed="false">
      <c r="A8" s="10" t="n">
        <v>2021</v>
      </c>
      <c r="B8" s="18" t="n">
        <v>11.26</v>
      </c>
      <c r="C8" s="18" t="n">
        <v>17.25</v>
      </c>
      <c r="D8" s="18" t="n">
        <v>6.98</v>
      </c>
      <c r="E8" s="18" t="n">
        <v>13.07</v>
      </c>
      <c r="F8" s="18" t="n">
        <v>19.56</v>
      </c>
      <c r="G8" s="20" t="n">
        <f aca="false">B8/14</f>
        <v>0.804285714285714</v>
      </c>
      <c r="H8" s="20" t="n">
        <f aca="false">C8/27</f>
        <v>0.638888888888889</v>
      </c>
      <c r="I8" s="20" t="n">
        <f aca="false">D8/10</f>
        <v>0.698</v>
      </c>
      <c r="J8" s="20" t="n">
        <f aca="false">E8/22</f>
        <v>0.594090909090909</v>
      </c>
      <c r="K8" s="20" t="n">
        <f aca="false">F8/27</f>
        <v>0.724444444444444</v>
      </c>
      <c r="L8" s="20" t="n">
        <f aca="false">AVERAGE(G8,H8,I8,K8)</f>
        <v>0.716404761904762</v>
      </c>
      <c r="M8" s="21" t="n">
        <f aca="false">(J8-L8)*100</f>
        <v>-12.2313852813853</v>
      </c>
    </row>
    <row r="9" customFormat="false" ht="15" hidden="false" customHeight="true" outlineLevel="0" collapsed="false">
      <c r="A9" s="10" t="n">
        <v>2022</v>
      </c>
      <c r="B9" s="18" t="n">
        <v>10.78</v>
      </c>
      <c r="C9" s="18" t="n">
        <v>18.64</v>
      </c>
      <c r="D9" s="18" t="n">
        <v>7.74</v>
      </c>
      <c r="E9" s="18" t="n">
        <v>13.79</v>
      </c>
      <c r="F9" s="18" t="n">
        <v>21.19</v>
      </c>
      <c r="G9" s="20" t="n">
        <f aca="false">B9/14</f>
        <v>0.77</v>
      </c>
      <c r="H9" s="20" t="n">
        <f aca="false">C9/27</f>
        <v>0.69037037037037</v>
      </c>
      <c r="I9" s="20" t="n">
        <f aca="false">D9/10</f>
        <v>0.774</v>
      </c>
      <c r="J9" s="20" t="n">
        <f aca="false">E9/22</f>
        <v>0.626818181818182</v>
      </c>
      <c r="K9" s="20" t="n">
        <f aca="false">F9/27</f>
        <v>0.784814814814815</v>
      </c>
      <c r="L9" s="20" t="n">
        <f aca="false">AVERAGE(G9,H9,I9,K9)</f>
        <v>0.754796296296296</v>
      </c>
      <c r="M9" s="21" t="n">
        <f aca="false">(J9-L9)*100</f>
        <v>-12.7978114478114</v>
      </c>
    </row>
    <row r="10" customFormat="false" ht="15" hidden="false" customHeight="true" outlineLevel="0" collapsed="false">
      <c r="A10" s="10" t="n">
        <v>2024</v>
      </c>
      <c r="B10" s="18" t="n">
        <v>11.33</v>
      </c>
      <c r="C10" s="18" t="n">
        <v>19.35</v>
      </c>
      <c r="D10" s="18" t="n">
        <v>8.05</v>
      </c>
      <c r="E10" s="18" t="n">
        <v>14.14</v>
      </c>
      <c r="F10" s="18" t="n">
        <v>22.1</v>
      </c>
      <c r="G10" s="20" t="n">
        <f aca="false">B10/14</f>
        <v>0.809285714285714</v>
      </c>
      <c r="H10" s="20" t="n">
        <f aca="false">C10/27</f>
        <v>0.716666666666667</v>
      </c>
      <c r="I10" s="20" t="n">
        <f aca="false">D10/10</f>
        <v>0.805</v>
      </c>
      <c r="J10" s="20" t="n">
        <f aca="false">E10/22</f>
        <v>0.642727272727273</v>
      </c>
      <c r="K10" s="20" t="n">
        <f aca="false">F10/27</f>
        <v>0.818518518518519</v>
      </c>
      <c r="L10" s="20" t="n">
        <f aca="false">AVERAGE(G10,H10,I10,K10)</f>
        <v>0.787367724867725</v>
      </c>
      <c r="M10" s="21" t="n">
        <f aca="false">(J10-L10)*100</f>
        <v>-14.4640452140452</v>
      </c>
    </row>
    <row r="11" customFormat="false" ht="15" hidden="false" customHeight="true" outlineLevel="0" collapsed="false">
      <c r="A11" s="10" t="n">
        <v>2025</v>
      </c>
      <c r="B11" s="18" t="n">
        <v>12.76</v>
      </c>
      <c r="C11" s="18" t="n">
        <v>19.94</v>
      </c>
      <c r="D11" s="18" t="n">
        <v>8.52</v>
      </c>
      <c r="E11" s="18" t="n">
        <v>14.13</v>
      </c>
      <c r="F11" s="18" t="n">
        <v>21.6</v>
      </c>
      <c r="G11" s="20" t="n">
        <f aca="false">B11/14</f>
        <v>0.911428571428571</v>
      </c>
      <c r="H11" s="20" t="n">
        <f aca="false">C11/27</f>
        <v>0.738518518518519</v>
      </c>
      <c r="I11" s="20" t="n">
        <f aca="false">D11/10</f>
        <v>0.852</v>
      </c>
      <c r="J11" s="20" t="n">
        <f aca="false">E11/22</f>
        <v>0.642272727272727</v>
      </c>
      <c r="K11" s="20" t="n">
        <f aca="false">F11/27</f>
        <v>0.8</v>
      </c>
      <c r="L11" s="20" t="n">
        <f aca="false">AVERAGE(G11,H11,I11,K11)</f>
        <v>0.825486772486773</v>
      </c>
      <c r="M11" s="21" t="n">
        <f aca="false">(J11-L11)*100</f>
        <v>-18.3214045214045</v>
      </c>
    </row>
    <row r="12" customFormat="false" ht="15" hidden="false" customHeight="true" outlineLevel="0" collapsed="false">
      <c r="A12" s="10" t="n">
        <v>2026</v>
      </c>
      <c r="B12" s="18" t="n">
        <v>12.94</v>
      </c>
      <c r="C12" s="18" t="n">
        <v>19.6</v>
      </c>
      <c r="D12" s="18" t="n">
        <v>8.04</v>
      </c>
      <c r="E12" s="18" t="n">
        <v>14.91</v>
      </c>
      <c r="F12" s="18" t="n">
        <v>23.53</v>
      </c>
      <c r="G12" s="20" t="n">
        <f aca="false">B12/14</f>
        <v>0.924285714285714</v>
      </c>
      <c r="H12" s="20" t="n">
        <f aca="false">C12/27</f>
        <v>0.725925925925926</v>
      </c>
      <c r="I12" s="20" t="n">
        <f aca="false">D12/10</f>
        <v>0.804</v>
      </c>
      <c r="J12" s="20" t="n">
        <f aca="false">E12/22</f>
        <v>0.677727272727273</v>
      </c>
      <c r="K12" s="20" t="n">
        <f aca="false">F12/27</f>
        <v>0.871481481481482</v>
      </c>
      <c r="L12" s="20" t="n">
        <f aca="false">AVERAGE(G12,H12,I12,K12)</f>
        <v>0.83142328042328</v>
      </c>
      <c r="M12" s="21" t="n">
        <f aca="false">(J12-L12)*100</f>
        <v>-15.3696007696008</v>
      </c>
    </row>
    <row r="13" customFormat="false" ht="15" hidden="false" customHeight="true" outlineLevel="0" collapsed="false">
      <c r="A13" s="22" t="s">
        <v>73</v>
      </c>
      <c r="G13" s="23" t="n">
        <f aca="false">AVERAGE(G3:G12)</f>
        <v>0.847428571428571</v>
      </c>
      <c r="H13" s="23" t="n">
        <f aca="false">AVERAGE(H3:H12)</f>
        <v>0.688888888888889</v>
      </c>
      <c r="I13" s="23" t="n">
        <f aca="false">AVERAGE(I3:I12)</f>
        <v>0.8185</v>
      </c>
      <c r="J13" s="23" t="n">
        <f aca="false">AVERAGE(J3:J12)</f>
        <v>0.663909090909091</v>
      </c>
      <c r="K13" s="23" t="n">
        <f aca="false">AVERAGE(K3:K12)</f>
        <v>0.78762962962963</v>
      </c>
    </row>
    <row r="15" customFormat="false" ht="15" hidden="false" customHeight="true" outlineLevel="0" collapsed="false">
      <c r="A15" s="14" t="s">
        <v>74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2" t="s">
        <v>75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24" t="s">
        <v>76</v>
      </c>
    </row>
    <row r="4" customFormat="false" ht="15" hidden="false" customHeight="true" outlineLevel="0" collapsed="false">
      <c r="A4" s="9" t="s">
        <v>29</v>
      </c>
      <c r="B4" s="9" t="s">
        <v>40</v>
      </c>
      <c r="C4" s="9" t="s">
        <v>77</v>
      </c>
      <c r="D4" s="9" t="s">
        <v>78</v>
      </c>
      <c r="E4" s="9" t="s">
        <v>79</v>
      </c>
      <c r="F4" s="9" t="s">
        <v>80</v>
      </c>
    </row>
    <row r="5" customFormat="false" ht="15" hidden="false" customHeight="true" outlineLevel="0" collapsed="false">
      <c r="A5" s="10" t="n">
        <v>2017</v>
      </c>
      <c r="B5" s="17" t="n">
        <v>33.1</v>
      </c>
      <c r="C5" s="17" t="n">
        <v>5.9</v>
      </c>
      <c r="D5" s="20" t="n">
        <v>0.064</v>
      </c>
      <c r="E5" s="17" t="n">
        <v>89.1</v>
      </c>
      <c r="F5" s="21" t="n">
        <v>-14.3</v>
      </c>
    </row>
    <row r="6" customFormat="false" ht="15" hidden="false" customHeight="true" outlineLevel="0" collapsed="false">
      <c r="A6" s="10" t="n">
        <v>2018</v>
      </c>
      <c r="B6" s="17" t="n">
        <v>36.8</v>
      </c>
      <c r="C6" s="17" t="n">
        <v>6.6</v>
      </c>
      <c r="D6" s="20" t="n">
        <v>0.133</v>
      </c>
      <c r="E6" s="17" t="n">
        <v>78.8</v>
      </c>
      <c r="F6" s="21" t="n">
        <v>-10</v>
      </c>
    </row>
    <row r="7" customFormat="false" ht="15" hidden="false" customHeight="true" outlineLevel="0" collapsed="false">
      <c r="A7" s="10" t="n">
        <v>2019</v>
      </c>
      <c r="B7" s="17" t="n">
        <v>33.8</v>
      </c>
      <c r="C7" s="17" t="n">
        <v>6</v>
      </c>
      <c r="D7" s="20" t="n">
        <v>0.155</v>
      </c>
      <c r="E7" s="17" t="n">
        <v>82.3</v>
      </c>
      <c r="F7" s="21" t="n">
        <v>-7.4</v>
      </c>
    </row>
    <row r="8" customFormat="false" ht="15" hidden="false" customHeight="true" outlineLevel="0" collapsed="false">
      <c r="A8" s="10" t="n">
        <v>2020</v>
      </c>
      <c r="B8" s="17" t="n">
        <v>36.5</v>
      </c>
      <c r="C8" s="17" t="n">
        <v>6.7</v>
      </c>
      <c r="D8" s="20" t="n">
        <v>0.118</v>
      </c>
      <c r="E8" s="17" t="n">
        <v>88</v>
      </c>
      <c r="F8" s="21" t="n">
        <v>-5.6</v>
      </c>
    </row>
    <row r="9" customFormat="false" ht="15" hidden="false" customHeight="true" outlineLevel="0" collapsed="false">
      <c r="A9" s="10" t="n">
        <v>2022</v>
      </c>
      <c r="B9" s="17" t="n">
        <v>37.4</v>
      </c>
      <c r="C9" s="17" t="n">
        <v>6.7</v>
      </c>
      <c r="D9" s="20" t="n">
        <v>0.09</v>
      </c>
      <c r="E9" s="17" t="n">
        <v>86.8</v>
      </c>
      <c r="F9" s="21" t="n">
        <v>-12.8</v>
      </c>
    </row>
    <row r="10" customFormat="false" ht="15" hidden="false" customHeight="true" outlineLevel="0" collapsed="false">
      <c r="A10" s="10" t="n">
        <v>2024</v>
      </c>
      <c r="B10" s="17" t="n">
        <v>51.8</v>
      </c>
      <c r="C10" s="17" t="n">
        <v>8.9</v>
      </c>
      <c r="D10" s="20" t="n">
        <v>0.155</v>
      </c>
      <c r="E10" s="17" t="n">
        <v>89.4</v>
      </c>
      <c r="F10" s="21" t="n">
        <v>-14.5</v>
      </c>
    </row>
    <row r="11" customFormat="false" ht="15" hidden="false" customHeight="true" outlineLevel="0" collapsed="false">
      <c r="A11" s="10" t="n">
        <v>2025</v>
      </c>
      <c r="B11" s="17" t="n">
        <v>47.6</v>
      </c>
      <c r="C11" s="17" t="n">
        <v>8.5</v>
      </c>
      <c r="D11" s="20" t="n">
        <v>0.139</v>
      </c>
      <c r="E11" s="17" t="n">
        <v>80.3</v>
      </c>
      <c r="F11" s="21" t="n">
        <v>-18.3</v>
      </c>
    </row>
    <row r="12" customFormat="false" ht="15" hidden="false" customHeight="true" outlineLevel="0" collapsed="false">
      <c r="A12" s="10" t="n">
        <v>2026</v>
      </c>
      <c r="B12" s="17" t="n">
        <v>41</v>
      </c>
      <c r="C12" s="17" t="n">
        <v>7.4</v>
      </c>
      <c r="D12" s="20" t="n">
        <v>0.111</v>
      </c>
      <c r="E12" s="17" t="n">
        <v>87.5</v>
      </c>
      <c r="F12" s="21" t="n">
        <v>-15.4</v>
      </c>
    </row>
    <row r="14" customFormat="false" ht="15" hidden="false" customHeight="true" outlineLevel="0" collapsed="false">
      <c r="A14" s="25" t="s">
        <v>81</v>
      </c>
      <c r="B14" s="25"/>
      <c r="C14" s="25"/>
    </row>
    <row r="15" customFormat="false" ht="15" hidden="false" customHeight="true" outlineLevel="0" collapsed="false">
      <c r="A15" s="26" t="s">
        <v>82</v>
      </c>
      <c r="B15" s="27" t="n">
        <f aca="false">CORREL(B5:B12,F5:F12)</f>
        <v>-0.601251725828969</v>
      </c>
    </row>
    <row r="16" customFormat="false" ht="15" hidden="false" customHeight="true" outlineLevel="0" collapsed="false">
      <c r="A16" s="26" t="s">
        <v>83</v>
      </c>
      <c r="B16" s="27" t="n">
        <f aca="false">CORREL(C5:C12,F5:F12)</f>
        <v>-0.601178728242054</v>
      </c>
    </row>
    <row r="17" customFormat="false" ht="15" hidden="false" customHeight="true" outlineLevel="0" collapsed="false">
      <c r="A17" s="26" t="s">
        <v>84</v>
      </c>
      <c r="B17" s="27" t="n">
        <f aca="false">CORREL(D5:D12,F5:F12)</f>
        <v>0.158747672014773</v>
      </c>
    </row>
    <row r="18" customFormat="false" ht="15" hidden="false" customHeight="true" outlineLevel="0" collapsed="false">
      <c r="A18" s="26" t="s">
        <v>24</v>
      </c>
      <c r="B18" s="27" t="n">
        <f aca="false">CORREL(E5:E12,F5:F12)</f>
        <v>-0.0458578996582579</v>
      </c>
    </row>
  </sheetData>
  <mergeCells count="2">
    <mergeCell ref="A1:F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28" t="s">
        <v>85</v>
      </c>
      <c r="B1" s="28"/>
      <c r="C1" s="28"/>
      <c r="D1" s="28"/>
      <c r="E1" s="28"/>
      <c r="F1" s="28"/>
      <c r="G1" s="28"/>
      <c r="H1" s="28"/>
    </row>
    <row r="2" customFormat="false" ht="23.85" hidden="false" customHeight="false" outlineLevel="0" collapsed="false">
      <c r="A2" s="29" t="s">
        <v>29</v>
      </c>
      <c r="B2" s="29" t="s">
        <v>30</v>
      </c>
      <c r="C2" s="29" t="s">
        <v>86</v>
      </c>
      <c r="D2" s="29" t="s">
        <v>87</v>
      </c>
      <c r="E2" s="29" t="s">
        <v>88</v>
      </c>
      <c r="F2" s="29" t="s">
        <v>89</v>
      </c>
      <c r="G2" s="29" t="s">
        <v>90</v>
      </c>
      <c r="H2" s="29" t="s">
        <v>91</v>
      </c>
    </row>
    <row r="3" customFormat="false" ht="15" hidden="false" customHeight="false" outlineLevel="0" collapsed="false">
      <c r="A3" s="30" t="n">
        <v>2016</v>
      </c>
      <c r="B3" s="31" t="n">
        <v>1</v>
      </c>
      <c r="C3" s="32" t="n">
        <v>27.2</v>
      </c>
      <c r="D3" s="33" t="n">
        <v>2880</v>
      </c>
      <c r="E3" s="32" t="n">
        <v>33.4</v>
      </c>
      <c r="F3" s="30" t="n">
        <v>269</v>
      </c>
      <c r="G3" s="30" t="n">
        <v>46</v>
      </c>
      <c r="H3" s="33" t="n">
        <v>5554</v>
      </c>
    </row>
    <row r="4" customFormat="false" ht="15" hidden="false" customHeight="false" outlineLevel="0" collapsed="false">
      <c r="A4" s="30" t="n">
        <v>2017</v>
      </c>
      <c r="B4" s="31" t="n">
        <v>1</v>
      </c>
      <c r="C4" s="32" t="n">
        <v>31.1</v>
      </c>
      <c r="D4" s="33" t="n">
        <v>3344</v>
      </c>
      <c r="E4" s="32" t="n">
        <v>32.8</v>
      </c>
      <c r="F4" s="30" t="n">
        <v>220</v>
      </c>
      <c r="G4" s="30" t="n">
        <v>50</v>
      </c>
      <c r="H4" s="33" t="n">
        <v>5849</v>
      </c>
    </row>
    <row r="5" customFormat="false" ht="15" hidden="false" customHeight="false" outlineLevel="0" collapsed="false">
      <c r="A5" s="30" t="n">
        <v>2017</v>
      </c>
      <c r="B5" s="31" t="n">
        <v>2</v>
      </c>
      <c r="C5" s="32" t="n">
        <v>32.9</v>
      </c>
      <c r="D5" s="33" t="n">
        <v>3405</v>
      </c>
      <c r="E5" s="32" t="n">
        <v>30.7</v>
      </c>
      <c r="F5" s="30" t="n">
        <v>210</v>
      </c>
      <c r="G5" s="30" t="n">
        <v>55</v>
      </c>
      <c r="H5" s="33" t="n">
        <v>5780</v>
      </c>
    </row>
    <row r="6" customFormat="false" ht="15" hidden="false" customHeight="false" outlineLevel="0" collapsed="false">
      <c r="A6" s="30" t="n">
        <v>2018</v>
      </c>
      <c r="B6" s="31" t="n">
        <v>1</v>
      </c>
      <c r="C6" s="32" t="n">
        <v>30.5</v>
      </c>
      <c r="D6" s="33" t="n">
        <v>3242</v>
      </c>
      <c r="E6" s="32" t="n">
        <v>34.2</v>
      </c>
      <c r="F6" s="30" t="n">
        <v>310</v>
      </c>
      <c r="G6" s="30" t="n">
        <v>53</v>
      </c>
      <c r="H6" s="33" t="n">
        <v>6154</v>
      </c>
    </row>
    <row r="7" customFormat="false" ht="15" hidden="false" customHeight="false" outlineLevel="0" collapsed="false">
      <c r="A7" s="30" t="n">
        <v>2018</v>
      </c>
      <c r="B7" s="31" t="n">
        <v>2</v>
      </c>
      <c r="C7" s="32" t="n">
        <v>36.8</v>
      </c>
      <c r="D7" s="33" t="n">
        <v>4052</v>
      </c>
      <c r="E7" s="32" t="n">
        <v>37.6</v>
      </c>
      <c r="F7" s="30" t="n">
        <v>246</v>
      </c>
      <c r="G7" s="30" t="n">
        <v>64</v>
      </c>
      <c r="H7" s="33" t="n">
        <v>6705</v>
      </c>
    </row>
    <row r="8" customFormat="false" ht="15" hidden="false" customHeight="false" outlineLevel="0" collapsed="false">
      <c r="A8" s="30" t="n">
        <v>2019</v>
      </c>
      <c r="B8" s="31" t="n">
        <v>2</v>
      </c>
      <c r="C8" s="32" t="n">
        <v>33.8</v>
      </c>
      <c r="D8" s="33" t="n">
        <v>3727</v>
      </c>
      <c r="E8" s="32" t="n">
        <v>37</v>
      </c>
      <c r="F8" s="30" t="n">
        <v>218</v>
      </c>
      <c r="G8" s="30" t="n">
        <v>56</v>
      </c>
      <c r="H8" s="33" t="n">
        <v>6602</v>
      </c>
    </row>
    <row r="9" customFormat="false" ht="15" hidden="false" customHeight="false" outlineLevel="0" collapsed="false">
      <c r="A9" s="30" t="n">
        <v>2020</v>
      </c>
      <c r="B9" s="31" t="n">
        <v>1</v>
      </c>
      <c r="C9" s="32" t="n">
        <v>31.4</v>
      </c>
      <c r="D9" s="33" t="n">
        <v>3334</v>
      </c>
      <c r="E9" s="32" t="n">
        <v>39.7</v>
      </c>
      <c r="F9" s="30" t="n">
        <v>235</v>
      </c>
      <c r="G9" s="30" t="n">
        <v>30</v>
      </c>
      <c r="H9" s="33" t="n">
        <v>6613</v>
      </c>
    </row>
    <row r="10" customFormat="false" ht="15" hidden="false" customHeight="false" outlineLevel="0" collapsed="false">
      <c r="A10" s="30" t="n">
        <v>2020</v>
      </c>
      <c r="B10" s="31" t="n">
        <v>2</v>
      </c>
      <c r="C10" s="32" t="n">
        <v>36.5</v>
      </c>
      <c r="D10" s="33" t="n">
        <v>3759</v>
      </c>
      <c r="E10" s="32" t="n">
        <v>33.7</v>
      </c>
      <c r="F10" s="30" t="n">
        <v>193</v>
      </c>
      <c r="G10" s="30" t="n">
        <v>19</v>
      </c>
      <c r="H10" s="33" t="n">
        <v>5984</v>
      </c>
    </row>
    <row r="11" customFormat="false" ht="15" hidden="false" customHeight="false" outlineLevel="0" collapsed="false">
      <c r="A11" s="30" t="n">
        <v>2021</v>
      </c>
      <c r="B11" s="31" t="n">
        <v>1</v>
      </c>
      <c r="C11" s="32" t="n">
        <v>44.2</v>
      </c>
      <c r="D11" s="33" t="n">
        <v>4508</v>
      </c>
      <c r="E11" s="32" t="n">
        <v>33.1</v>
      </c>
      <c r="F11" s="30" t="n">
        <v>185</v>
      </c>
      <c r="G11" s="30" t="n">
        <v>21</v>
      </c>
      <c r="H11" s="33" t="n">
        <v>5570</v>
      </c>
    </row>
    <row r="12" customFormat="false" ht="15" hidden="false" customHeight="false" outlineLevel="0" collapsed="false">
      <c r="A12" s="30" t="n">
        <v>2022</v>
      </c>
      <c r="B12" s="31" t="n">
        <v>1</v>
      </c>
      <c r="C12" s="32" t="n">
        <v>36.2</v>
      </c>
      <c r="D12" s="33" t="n">
        <v>3734</v>
      </c>
      <c r="E12" s="32" t="n">
        <v>35.5</v>
      </c>
      <c r="F12" s="30" t="n">
        <v>252</v>
      </c>
      <c r="G12" s="30" t="n">
        <v>38</v>
      </c>
      <c r="H12" s="33" t="n">
        <v>6303</v>
      </c>
    </row>
    <row r="13" customFormat="false" ht="15" hidden="false" customHeight="false" outlineLevel="0" collapsed="false">
      <c r="A13" s="30" t="n">
        <v>2022</v>
      </c>
      <c r="B13" s="31" t="n">
        <v>2</v>
      </c>
      <c r="C13" s="32" t="n">
        <v>37.8</v>
      </c>
      <c r="D13" s="33" t="n">
        <v>3923</v>
      </c>
      <c r="E13" s="32" t="n">
        <v>29.8</v>
      </c>
      <c r="F13" s="30" t="n">
        <v>175</v>
      </c>
      <c r="G13" s="30" t="n">
        <v>44</v>
      </c>
      <c r="H13" s="33" t="n">
        <v>5283</v>
      </c>
    </row>
    <row r="14" customFormat="false" ht="15" hidden="false" customHeight="false" outlineLevel="0" collapsed="false">
      <c r="A14" s="30" t="n">
        <v>2023</v>
      </c>
      <c r="B14" s="31" t="n">
        <v>1</v>
      </c>
      <c r="C14" s="32" t="n">
        <v>45.5</v>
      </c>
      <c r="D14" s="33" t="n">
        <v>4725</v>
      </c>
      <c r="E14" s="32" t="n">
        <v>29.4</v>
      </c>
      <c r="F14" s="30" t="n">
        <v>244</v>
      </c>
      <c r="G14" s="30" t="n">
        <v>25</v>
      </c>
      <c r="H14" s="33" t="n">
        <v>4993</v>
      </c>
    </row>
    <row r="15" customFormat="false" ht="15" hidden="false" customHeight="false" outlineLevel="0" collapsed="false">
      <c r="A15" s="30" t="n">
        <v>2023</v>
      </c>
      <c r="B15" s="31" t="n">
        <v>2</v>
      </c>
      <c r="C15" s="32" t="n">
        <v>42.6</v>
      </c>
      <c r="D15" s="33" t="n">
        <v>4316</v>
      </c>
      <c r="E15" s="32" t="n">
        <v>33.8</v>
      </c>
      <c r="F15" s="30" t="n">
        <v>169</v>
      </c>
      <c r="G15" s="30" t="n">
        <v>29</v>
      </c>
      <c r="H15" s="33" t="n">
        <v>5773</v>
      </c>
    </row>
    <row r="16" customFormat="false" ht="15" hidden="false" customHeight="false" outlineLevel="0" collapsed="false">
      <c r="A16" s="30" t="n">
        <v>2024</v>
      </c>
      <c r="B16" s="31" t="n">
        <v>1</v>
      </c>
      <c r="C16" s="32" t="n">
        <v>41</v>
      </c>
      <c r="D16" s="33" t="n">
        <v>4228</v>
      </c>
      <c r="E16" s="32" t="n">
        <v>28.7</v>
      </c>
      <c r="F16" s="30" t="n">
        <v>160</v>
      </c>
      <c r="G16" s="30" t="n">
        <v>19</v>
      </c>
      <c r="H16" s="33" t="n">
        <v>4718</v>
      </c>
    </row>
    <row r="17" customFormat="false" ht="15" hidden="false" customHeight="false" outlineLevel="0" collapsed="false">
      <c r="A17" s="30" t="n">
        <v>2024</v>
      </c>
      <c r="B17" s="31" t="n">
        <v>2</v>
      </c>
      <c r="C17" s="32" t="n">
        <v>52.2</v>
      </c>
      <c r="D17" s="33" t="n">
        <v>5102</v>
      </c>
      <c r="E17" s="32" t="n">
        <v>26.1</v>
      </c>
      <c r="F17" s="30" t="n">
        <v>153</v>
      </c>
      <c r="G17" s="30" t="n">
        <v>25</v>
      </c>
      <c r="H17" s="33" t="n">
        <v>4197</v>
      </c>
    </row>
    <row r="18" customFormat="false" ht="15" hidden="false" customHeight="false" outlineLevel="0" collapsed="false">
      <c r="A18" s="30" t="n">
        <v>2025</v>
      </c>
      <c r="B18" s="31" t="n">
        <v>1</v>
      </c>
      <c r="C18" s="32" t="n">
        <v>50.9</v>
      </c>
      <c r="D18" s="33" t="n">
        <v>4933</v>
      </c>
      <c r="E18" s="32" t="n">
        <v>28.8</v>
      </c>
      <c r="F18" s="30" t="n">
        <v>158</v>
      </c>
      <c r="G18" s="30" t="n">
        <v>19</v>
      </c>
      <c r="H18" s="33" t="n">
        <v>4682</v>
      </c>
    </row>
    <row r="19" customFormat="false" ht="15" hidden="false" customHeight="false" outlineLevel="0" collapsed="false">
      <c r="A19" s="30" t="n">
        <v>2025</v>
      </c>
      <c r="B19" s="31" t="n">
        <v>2</v>
      </c>
      <c r="C19" s="32" t="n">
        <v>48.5</v>
      </c>
      <c r="D19" s="33" t="n">
        <v>5029</v>
      </c>
      <c r="E19" s="32" t="n">
        <v>25.2</v>
      </c>
      <c r="F19" s="30" t="n">
        <v>152</v>
      </c>
      <c r="G19" s="30" t="n">
        <v>23</v>
      </c>
      <c r="H19" s="33" t="n">
        <v>3944</v>
      </c>
    </row>
    <row r="20" customFormat="false" ht="15" hidden="false" customHeight="false" outlineLevel="0" collapsed="false">
      <c r="A20" s="30" t="n">
        <v>2026</v>
      </c>
      <c r="B20" s="31" t="n">
        <v>1</v>
      </c>
      <c r="C20" s="32" t="n">
        <v>41.5</v>
      </c>
      <c r="D20" s="33" t="n">
        <v>4235</v>
      </c>
      <c r="E20" s="32" t="n">
        <v>33.6</v>
      </c>
      <c r="F20" s="30" t="n">
        <v>230</v>
      </c>
      <c r="G20" s="30" t="n">
        <v>25</v>
      </c>
      <c r="H20" s="33" t="n">
        <v>5367</v>
      </c>
    </row>
    <row r="21" customFormat="false" ht="15" hidden="false" customHeight="false" outlineLevel="0" collapsed="false">
      <c r="A21" s="30" t="n">
        <v>2026</v>
      </c>
      <c r="B21" s="31" t="n">
        <v>2</v>
      </c>
      <c r="C21" s="32" t="n">
        <v>41</v>
      </c>
      <c r="D21" s="33" t="n">
        <v>4279</v>
      </c>
      <c r="E21" s="32" t="n">
        <v>27.7</v>
      </c>
      <c r="F21" s="30" t="n">
        <v>139</v>
      </c>
      <c r="G21" s="30" t="n">
        <v>25</v>
      </c>
      <c r="H21" s="33" t="n">
        <v>4612</v>
      </c>
    </row>
    <row r="23" customFormat="false" ht="15" hidden="false" customHeight="false" outlineLevel="0" collapsed="false">
      <c r="A23" s="34" t="s">
        <v>92</v>
      </c>
    </row>
    <row r="24" customFormat="false" ht="23.85" hidden="false" customHeight="false" outlineLevel="0" collapsed="false">
      <c r="A24" s="29" t="s">
        <v>29</v>
      </c>
      <c r="B24" s="29" t="s">
        <v>86</v>
      </c>
      <c r="C24" s="29" t="s">
        <v>88</v>
      </c>
    </row>
    <row r="25" customFormat="false" ht="15" hidden="false" customHeight="false" outlineLevel="0" collapsed="false">
      <c r="A25" s="35" t="n">
        <v>2016</v>
      </c>
      <c r="B25" s="36" t="n">
        <f aca="false">AVERAGEIFS(C3:C21,A3:A21,A25)</f>
        <v>27.2</v>
      </c>
      <c r="C25" s="36" t="n">
        <f aca="false">AVERAGEIFS(E3:E21,A3:A21,A25)</f>
        <v>33.4</v>
      </c>
    </row>
    <row r="26" customFormat="false" ht="15" hidden="false" customHeight="false" outlineLevel="0" collapsed="false">
      <c r="A26" s="35" t="n">
        <v>2017</v>
      </c>
      <c r="B26" s="36" t="n">
        <f aca="false">AVERAGEIFS(C3:C21,A3:A21,A26)</f>
        <v>32</v>
      </c>
      <c r="C26" s="36" t="n">
        <f aca="false">AVERAGEIFS(E3:E21,A3:A21,A26)</f>
        <v>31.75</v>
      </c>
    </row>
    <row r="27" customFormat="false" ht="15" hidden="false" customHeight="false" outlineLevel="0" collapsed="false">
      <c r="A27" s="35" t="n">
        <v>2018</v>
      </c>
      <c r="B27" s="36" t="n">
        <f aca="false">AVERAGEIFS(C3:C21,A3:A21,A27)</f>
        <v>33.65</v>
      </c>
      <c r="C27" s="36" t="n">
        <f aca="false">AVERAGEIFS(E3:E21,A3:A21,A27)</f>
        <v>35.9</v>
      </c>
    </row>
    <row r="28" customFormat="false" ht="15" hidden="false" customHeight="false" outlineLevel="0" collapsed="false">
      <c r="A28" s="35" t="n">
        <v>2019</v>
      </c>
      <c r="B28" s="36" t="n">
        <f aca="false">AVERAGEIFS(C3:C21,A3:A21,A28)</f>
        <v>33.8</v>
      </c>
      <c r="C28" s="36" t="n">
        <f aca="false">AVERAGEIFS(E3:E21,A3:A21,A28)</f>
        <v>37</v>
      </c>
    </row>
    <row r="29" customFormat="false" ht="15" hidden="false" customHeight="false" outlineLevel="0" collapsed="false">
      <c r="A29" s="35" t="n">
        <v>2020</v>
      </c>
      <c r="B29" s="36" t="n">
        <f aca="false">AVERAGEIFS(C3:C21,A3:A21,A29)</f>
        <v>33.95</v>
      </c>
      <c r="C29" s="36" t="n">
        <f aca="false">AVERAGEIFS(E3:E21,A3:A21,A29)</f>
        <v>36.7</v>
      </c>
    </row>
    <row r="30" customFormat="false" ht="15" hidden="false" customHeight="false" outlineLevel="0" collapsed="false">
      <c r="A30" s="35" t="n">
        <v>2021</v>
      </c>
      <c r="B30" s="36" t="n">
        <f aca="false">AVERAGEIFS(C3:C21,A3:A21,A30)</f>
        <v>44.2</v>
      </c>
      <c r="C30" s="36" t="n">
        <f aca="false">AVERAGEIFS(E3:E21,A3:A21,A30)</f>
        <v>33.1</v>
      </c>
    </row>
    <row r="31" customFormat="false" ht="15" hidden="false" customHeight="false" outlineLevel="0" collapsed="false">
      <c r="A31" s="35" t="n">
        <v>2022</v>
      </c>
      <c r="B31" s="36" t="n">
        <f aca="false">AVERAGEIFS(C3:C21,A3:A21,A31)</f>
        <v>37</v>
      </c>
      <c r="C31" s="36" t="n">
        <f aca="false">AVERAGEIFS(E3:E21,A3:A21,A31)</f>
        <v>32.65</v>
      </c>
    </row>
    <row r="32" customFormat="false" ht="15" hidden="false" customHeight="false" outlineLevel="0" collapsed="false">
      <c r="A32" s="35" t="n">
        <v>2023</v>
      </c>
      <c r="B32" s="36" t="n">
        <f aca="false">AVERAGEIFS(C3:C21,A3:A21,A32)</f>
        <v>44.05</v>
      </c>
      <c r="C32" s="36" t="n">
        <f aca="false">AVERAGEIFS(E3:E21,A3:A21,A32)</f>
        <v>31.6</v>
      </c>
    </row>
    <row r="33" customFormat="false" ht="15" hidden="false" customHeight="false" outlineLevel="0" collapsed="false">
      <c r="A33" s="35" t="n">
        <v>2024</v>
      </c>
      <c r="B33" s="36" t="n">
        <f aca="false">AVERAGEIFS(C3:C21,A3:A21,A33)</f>
        <v>46.6</v>
      </c>
      <c r="C33" s="36" t="n">
        <f aca="false">AVERAGEIFS(E3:E21,A3:A21,A33)</f>
        <v>27.4</v>
      </c>
    </row>
    <row r="34" customFormat="false" ht="15" hidden="false" customHeight="false" outlineLevel="0" collapsed="false">
      <c r="A34" s="35" t="n">
        <v>2025</v>
      </c>
      <c r="B34" s="36" t="n">
        <f aca="false">AVERAGEIFS(C3:C21,A3:A21,A34)</f>
        <v>49.7</v>
      </c>
      <c r="C34" s="36" t="n">
        <f aca="false">AVERAGEIFS(E3:E21,A3:A21,A34)</f>
        <v>27</v>
      </c>
    </row>
    <row r="35" customFormat="false" ht="15" hidden="false" customHeight="false" outlineLevel="0" collapsed="false">
      <c r="A35" s="35" t="n">
        <v>2026</v>
      </c>
      <c r="B35" s="36" t="n">
        <f aca="false">AVERAGEIFS(C3:C21,A3:A21,A35)</f>
        <v>41.25</v>
      </c>
      <c r="C35" s="36" t="n">
        <f aca="false">AVERAGEIFS(E3:E21,A3:A21,A35)</f>
        <v>30.65</v>
      </c>
    </row>
    <row r="37" customFormat="false" ht="15" hidden="false" customHeight="false" outlineLevel="0" collapsed="false">
      <c r="A37" s="37" t="s">
        <v>93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2026-06-14T14:59:09Z</dcterms:created>
  <dc:creator>openpyxl</dc:creator>
  <dc:description/>
  <dc:language>en-US</dc:language>
  <cp:lastModifiedBy/>
  <dcterms:modified xsi:type="dcterms:W3CDTF">2026-06-15T07:16:44Z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